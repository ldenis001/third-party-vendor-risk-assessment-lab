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coring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D35400"/>
      <sz val="9"/>
    </font>
    <font>
      <name val="Arial"/>
      <b val="1"/>
      <color rgb="007D6608"/>
      <sz val="9"/>
    </font>
    <font>
      <name val="Arial"/>
      <b val="1"/>
      <color rgb="001E8449"/>
      <sz val="9"/>
    </font>
    <font>
      <name val="Arial"/>
      <b val="1"/>
      <color rgb="00FFFFFF"/>
      <sz val="11"/>
    </font>
    <font>
      <name val="Arial"/>
      <b val="1"/>
      <color rgb="00C0392B"/>
      <sz val="9"/>
    </font>
    <font>
      <name val="Arial"/>
      <b val="1"/>
      <color rgb="00C0392B"/>
      <sz val="14"/>
    </font>
    <font>
      <name val="Arial"/>
      <b val="1"/>
      <color rgb="00D35400"/>
      <sz val="14"/>
    </font>
    <font>
      <name val="Arial"/>
      <b val="1"/>
      <color rgb="007D6608"/>
      <sz val="14"/>
    </font>
    <font>
      <name val="Arial"/>
      <b val="1"/>
      <color rgb="001E8449"/>
      <sz val="14"/>
    </font>
    <font>
      <name val="Arial"/>
      <b val="1"/>
      <color rgb="00595959"/>
      <sz val="10"/>
    </font>
    <font>
      <name val="Arial"/>
      <b val="1"/>
      <color rgb="007D6608"/>
      <sz val="12"/>
    </font>
    <font>
      <name val="Arial"/>
      <b val="1"/>
      <color rgb="001E8449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color rgb="00C0392B"/>
      <sz val="9"/>
    </font>
    <font>
      <name val="Arial"/>
      <color rgb="00D35400"/>
      <sz val="9"/>
    </font>
    <font>
      <name val="Arial"/>
      <color rgb="007D6608"/>
      <sz val="9"/>
    </font>
    <font>
      <name val="Arial"/>
      <color rgb="001E844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FECD1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D6E4F7"/>
      </patternFill>
    </fill>
    <fill>
      <patternFill patternType="solid">
        <fgColor rgb="00D4EDDA"/>
      </patternFill>
    </fill>
    <fill>
      <patternFill patternType="solid">
        <fgColor rgb="00FFE0E0"/>
      </patternFill>
    </fill>
    <fill>
      <patternFill patternType="solid">
        <fgColor rgb="0059595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18" fillId="11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center" wrapText="1"/>
    </xf>
    <xf numFmtId="0" fontId="19" fillId="4" borderId="1" applyAlignment="1" pivotButton="0" quotePrefix="0" xfId="0">
      <alignment horizontal="left" wrapText="1"/>
    </xf>
    <xf numFmtId="0" fontId="19" fillId="6" borderId="1" applyAlignment="1" pivotButton="0" quotePrefix="0" xfId="0">
      <alignment horizontal="center" wrapText="1"/>
    </xf>
    <xf numFmtId="0" fontId="19" fillId="6" borderId="1" applyAlignment="1" pivotButton="0" quotePrefix="0" xfId="0">
      <alignment horizontal="left" wrapText="1"/>
    </xf>
    <xf numFmtId="0" fontId="20" fillId="10" borderId="1" applyAlignment="1" pivotButton="0" quotePrefix="0" xfId="0">
      <alignment horizontal="center" wrapText="1"/>
    </xf>
    <xf numFmtId="0" fontId="9" fillId="10" borderId="1" applyAlignment="1" pivotButton="0" quotePrefix="0" xfId="0">
      <alignment horizontal="center" wrapText="1"/>
    </xf>
    <xf numFmtId="0" fontId="20" fillId="10" borderId="1" applyAlignment="1" pivotButton="0" quotePrefix="0" xfId="0">
      <alignment horizontal="left" wrapText="1"/>
    </xf>
    <xf numFmtId="0" fontId="21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21" fillId="5" borderId="1" applyAlignment="1" pivotButton="0" quotePrefix="0" xfId="0">
      <alignment horizontal="left" wrapText="1"/>
    </xf>
    <xf numFmtId="0" fontId="22" fillId="7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wrapText="1"/>
    </xf>
    <xf numFmtId="0" fontId="22" fillId="7" borderId="1" applyAlignment="1" pivotButton="0" quotePrefix="0" xfId="0">
      <alignment horizontal="left" wrapText="1"/>
    </xf>
    <xf numFmtId="0" fontId="23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23" fillId="9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  <col width="9" customWidth="1" min="5" max="5"/>
    <col width="10" customWidth="1" min="6" max="6"/>
    <col width="10" customWidth="1" min="7" max="7"/>
    <col width="13" customWidth="1" min="8" max="8"/>
    <col width="10" customWidth="1" min="9" max="9"/>
    <col width="11" customWidth="1" min="10" max="10"/>
    <col width="18" customWidth="1" min="11" max="11"/>
    <col width="12" customWidth="1" min="12" max="12"/>
  </cols>
  <sheetData>
    <row r="1" ht="30" customHeight="1">
      <c r="A1" s="1" t="inlineStr">
        <is>
          <t>Third-Party Vendor Risk Assessment — CloudSync Solutions</t>
        </is>
      </c>
    </row>
    <row r="2" ht="18" customHeight="1">
      <c r="A2" s="2" t="inlineStr">
        <is>
          <t>Risk Register  |  Assessment ID: TPRM-2025-007  |  Analyst: Lazaro Denis  |  Date: March 17, 2025</t>
        </is>
      </c>
    </row>
    <row r="3" ht="30" customHeight="1">
      <c r="A3" s="3" t="inlineStr">
        <is>
          <t>Risk ID</t>
        </is>
      </c>
      <c r="B3" s="3" t="inlineStr">
        <is>
          <t>Risk Title</t>
        </is>
      </c>
      <c r="C3" s="3" t="inlineStr">
        <is>
          <t>Category</t>
        </is>
      </c>
      <c r="D3" s="3" t="inlineStr">
        <is>
          <t>Likelihood
(1–5)</t>
        </is>
      </c>
      <c r="E3" s="3" t="inlineStr">
        <is>
          <t>Impact
(1–5)</t>
        </is>
      </c>
      <c r="F3" s="3" t="inlineStr">
        <is>
          <t>Inherent
Score</t>
        </is>
      </c>
      <c r="G3" s="3" t="inlineStr">
        <is>
          <t>Inherent
Rating</t>
        </is>
      </c>
      <c r="H3" s="3" t="inlineStr">
        <is>
          <t>Control
Effectiveness</t>
        </is>
      </c>
      <c r="I3" s="3" t="inlineStr">
        <is>
          <t>Residual
Score</t>
        </is>
      </c>
      <c r="J3" s="3" t="inlineStr">
        <is>
          <t>Residual
Rating</t>
        </is>
      </c>
      <c r="K3" s="3" t="inlineStr">
        <is>
          <t>Treatment</t>
        </is>
      </c>
      <c r="L3" s="3" t="inlineStr">
        <is>
          <t>Status</t>
        </is>
      </c>
    </row>
    <row r="4" ht="20" customHeight="1">
      <c r="A4" s="4" t="inlineStr">
        <is>
          <t>RISK-001</t>
        </is>
      </c>
      <c r="B4" s="5" t="inlineStr">
        <is>
          <t>Unauthorized Access via Compromised User Account (No Universal MFA)</t>
        </is>
      </c>
      <c r="C4" s="4" t="inlineStr">
        <is>
          <t>Access Control</t>
        </is>
      </c>
      <c r="D4" s="4" t="n">
        <v>4</v>
      </c>
      <c r="E4" s="4" t="n">
        <v>4</v>
      </c>
      <c r="F4" s="4">
        <f>D4*E4</f>
        <v/>
      </c>
      <c r="G4" s="6" t="inlineStr">
        <is>
          <t>High</t>
        </is>
      </c>
      <c r="H4" s="4" t="inlineStr">
        <is>
          <t>20%</t>
        </is>
      </c>
      <c r="I4" s="4">
        <f>F4*(1-0.20)</f>
        <v/>
      </c>
      <c r="J4" s="6" t="inlineStr">
        <is>
          <t>High</t>
        </is>
      </c>
      <c r="K4" s="4" t="inlineStr">
        <is>
          <t>Mitigate</t>
        </is>
      </c>
      <c r="L4" s="7" t="inlineStr">
        <is>
          <t>Open</t>
        </is>
      </c>
    </row>
    <row r="5" ht="20" customHeight="1">
      <c r="A5" s="8" t="inlineStr">
        <is>
          <t>RISK-002</t>
        </is>
      </c>
      <c r="B5" s="9" t="inlineStr">
        <is>
          <t>PII Exposure in Non-Production Environments</t>
        </is>
      </c>
      <c r="C5" s="8" t="inlineStr">
        <is>
          <t>Data Security</t>
        </is>
      </c>
      <c r="D5" s="8" t="n">
        <v>3</v>
      </c>
      <c r="E5" s="8" t="n">
        <v>4</v>
      </c>
      <c r="F5" s="8">
        <f>D5*E5</f>
        <v/>
      </c>
      <c r="G5" s="6" t="inlineStr">
        <is>
          <t>High</t>
        </is>
      </c>
      <c r="H5" s="8" t="inlineStr">
        <is>
          <t>10%</t>
        </is>
      </c>
      <c r="I5" s="8">
        <f>F5*(1-0.10)</f>
        <v/>
      </c>
      <c r="J5" s="10" t="inlineStr">
        <is>
          <t>Medium</t>
        </is>
      </c>
      <c r="K5" s="8" t="inlineStr">
        <is>
          <t>Mitigate</t>
        </is>
      </c>
      <c r="L5" s="7" t="inlineStr">
        <is>
          <t>Open</t>
        </is>
      </c>
    </row>
    <row r="6" ht="20" customHeight="1">
      <c r="A6" s="4" t="inlineStr">
        <is>
          <t>RISK-003</t>
        </is>
      </c>
      <c r="B6" s="5" t="inlineStr">
        <is>
          <t>Undetected Data Exfiltration via API or Bulk Export</t>
        </is>
      </c>
      <c r="C6" s="4" t="inlineStr">
        <is>
          <t>Data Security</t>
        </is>
      </c>
      <c r="D6" s="4" t="n">
        <v>3</v>
      </c>
      <c r="E6" s="4" t="n">
        <v>4</v>
      </c>
      <c r="F6" s="4">
        <f>D6*E6</f>
        <v/>
      </c>
      <c r="G6" s="10" t="inlineStr">
        <is>
          <t>Medium</t>
        </is>
      </c>
      <c r="H6" s="4" t="inlineStr">
        <is>
          <t>20%</t>
        </is>
      </c>
      <c r="I6" s="4">
        <f>F6*(1-0.20)</f>
        <v/>
      </c>
      <c r="J6" s="10" t="inlineStr">
        <is>
          <t>Medium</t>
        </is>
      </c>
      <c r="K6" s="4" t="inlineStr">
        <is>
          <t>Mitigate</t>
        </is>
      </c>
      <c r="L6" s="7" t="inlineStr">
        <is>
          <t>Open</t>
        </is>
      </c>
    </row>
    <row r="7" ht="20" customHeight="1">
      <c r="A7" s="8" t="inlineStr">
        <is>
          <t>RISK-004</t>
        </is>
      </c>
      <c r="B7" s="9" t="inlineStr">
        <is>
          <t>Tenant Data Leakage in Multi-Tenant Environment</t>
        </is>
      </c>
      <c r="C7" s="8" t="inlineStr">
        <is>
          <t>Infrastructure</t>
        </is>
      </c>
      <c r="D7" s="8" t="n">
        <v>2</v>
      </c>
      <c r="E7" s="8" t="n">
        <v>5</v>
      </c>
      <c r="F7" s="8">
        <f>D7*E7</f>
        <v/>
      </c>
      <c r="G7" s="10" t="inlineStr">
        <is>
          <t>Medium</t>
        </is>
      </c>
      <c r="H7" s="8" t="inlineStr">
        <is>
          <t>30%</t>
        </is>
      </c>
      <c r="I7" s="8">
        <f>F7*(1-0.30)</f>
        <v/>
      </c>
      <c r="J7" s="10" t="inlineStr">
        <is>
          <t>Medium</t>
        </is>
      </c>
      <c r="K7" s="8" t="inlineStr">
        <is>
          <t>Monitor</t>
        </is>
      </c>
      <c r="L7" s="11" t="inlineStr">
        <is>
          <t>Monitoring</t>
        </is>
      </c>
    </row>
    <row r="8" ht="20" customHeight="1">
      <c r="A8" s="4" t="inlineStr">
        <is>
          <t>RISK-005</t>
        </is>
      </c>
      <c r="B8" s="5" t="inlineStr">
        <is>
          <t>Insufficient Audit Evidence / Inability to Verify Controls</t>
        </is>
      </c>
      <c r="C8" s="4" t="inlineStr">
        <is>
          <t>Compliance</t>
        </is>
      </c>
      <c r="D8" s="4" t="n">
        <v>2</v>
      </c>
      <c r="E8" s="4" t="n">
        <v>3</v>
      </c>
      <c r="F8" s="4">
        <f>D8*E8</f>
        <v/>
      </c>
      <c r="G8" s="10" t="inlineStr">
        <is>
          <t>Medium</t>
        </is>
      </c>
      <c r="H8" s="4" t="inlineStr">
        <is>
          <t>20%</t>
        </is>
      </c>
      <c r="I8" s="4">
        <f>F8*(1-0.20)</f>
        <v/>
      </c>
      <c r="J8" s="12" t="inlineStr">
        <is>
          <t>Low</t>
        </is>
      </c>
      <c r="K8" s="4" t="inlineStr">
        <is>
          <t>Transfer</t>
        </is>
      </c>
      <c r="L8" s="7" t="inlineStr">
        <is>
          <t>Open</t>
        </is>
      </c>
    </row>
    <row r="9" ht="20" customHeight="1">
      <c r="A9" s="8" t="inlineStr">
        <is>
          <t>RISK-006</t>
        </is>
      </c>
      <c r="B9" s="9" t="inlineStr">
        <is>
          <t>Fourth-Party Breach via Sub-Processor</t>
        </is>
      </c>
      <c r="C9" s="8" t="inlineStr">
        <is>
          <t>Supply Chain</t>
        </is>
      </c>
      <c r="D9" s="8" t="n">
        <v>2</v>
      </c>
      <c r="E9" s="8" t="n">
        <v>4</v>
      </c>
      <c r="F9" s="8">
        <f>D9*E9</f>
        <v/>
      </c>
      <c r="G9" s="10" t="inlineStr">
        <is>
          <t>Medium</t>
        </is>
      </c>
      <c r="H9" s="8" t="inlineStr">
        <is>
          <t>30%</t>
        </is>
      </c>
      <c r="I9" s="8">
        <f>F9*(1-0.30)</f>
        <v/>
      </c>
      <c r="J9" s="10" t="inlineStr">
        <is>
          <t>Medium</t>
        </is>
      </c>
      <c r="K9" s="8" t="inlineStr">
        <is>
          <t>Monitor</t>
        </is>
      </c>
      <c r="L9" s="11" t="inlineStr">
        <is>
          <t>Monitoring</t>
        </is>
      </c>
    </row>
    <row r="10" ht="20" customHeight="1">
      <c r="A10" s="4" t="inlineStr">
        <is>
          <t>RISK-007</t>
        </is>
      </c>
      <c r="B10" s="5" t="inlineStr">
        <is>
          <t>Vendor Business Disruption / Outage</t>
        </is>
      </c>
      <c r="C10" s="4" t="inlineStr">
        <is>
          <t>Business Continuity</t>
        </is>
      </c>
      <c r="D10" s="4" t="n">
        <v>2</v>
      </c>
      <c r="E10" s="4" t="n">
        <v>3</v>
      </c>
      <c r="F10" s="4">
        <f>D10*E10</f>
        <v/>
      </c>
      <c r="G10" s="10" t="inlineStr">
        <is>
          <t>Medium</t>
        </is>
      </c>
      <c r="H10" s="4" t="inlineStr">
        <is>
          <t>35%</t>
        </is>
      </c>
      <c r="I10" s="4">
        <f>F10*(1-0.35)</f>
        <v/>
      </c>
      <c r="J10" s="12" t="inlineStr">
        <is>
          <t>Low</t>
        </is>
      </c>
      <c r="K10" s="4" t="inlineStr">
        <is>
          <t>Accept</t>
        </is>
      </c>
      <c r="L10" s="13" t="inlineStr">
        <is>
          <t>Accepted</t>
        </is>
      </c>
    </row>
    <row r="11" ht="20" customHeight="1">
      <c r="A11" s="8" t="inlineStr">
        <is>
          <t>RISK-008</t>
        </is>
      </c>
      <c r="B11" s="9" t="inlineStr">
        <is>
          <t>HIPAA Non-Compliance — Benefits Data Handling</t>
        </is>
      </c>
      <c r="C11" s="8" t="inlineStr">
        <is>
          <t>Regulatory</t>
        </is>
      </c>
      <c r="D11" s="8" t="n">
        <v>2</v>
      </c>
      <c r="E11" s="8" t="n">
        <v>4</v>
      </c>
      <c r="F11" s="8">
        <f>D11*E11</f>
        <v/>
      </c>
      <c r="G11" s="10" t="inlineStr">
        <is>
          <t>Medium</t>
        </is>
      </c>
      <c r="H11" s="8" t="inlineStr">
        <is>
          <t>30%</t>
        </is>
      </c>
      <c r="I11" s="8">
        <f>F11*(1-0.30)</f>
        <v/>
      </c>
      <c r="J11" s="10" t="inlineStr">
        <is>
          <t>Medium</t>
        </is>
      </c>
      <c r="K11" s="8" t="inlineStr">
        <is>
          <t>Mitigate/Transfer</t>
        </is>
      </c>
      <c r="L11" s="11" t="inlineStr">
        <is>
          <t>Monitoring</t>
        </is>
      </c>
    </row>
    <row r="12" ht="20" customHeight="1">
      <c r="A12" s="4" t="inlineStr">
        <is>
          <t>RISK-009</t>
        </is>
      </c>
      <c r="B12" s="5" t="inlineStr">
        <is>
          <t>Breach Notification Delay Beyond Contractual SLA</t>
        </is>
      </c>
      <c r="C12" s="4" t="inlineStr">
        <is>
          <t>Incident Response</t>
        </is>
      </c>
      <c r="D12" s="4" t="n">
        <v>1</v>
      </c>
      <c r="E12" s="4" t="n">
        <v>4</v>
      </c>
      <c r="F12" s="4">
        <f>D12*E12</f>
        <v/>
      </c>
      <c r="G12" s="12" t="inlineStr">
        <is>
          <t>Low</t>
        </is>
      </c>
      <c r="H12" s="4" t="inlineStr">
        <is>
          <t>40%</t>
        </is>
      </c>
      <c r="I12" s="4">
        <f>F12*(1-0.40)</f>
        <v/>
      </c>
      <c r="J12" s="12" t="inlineStr">
        <is>
          <t>Low</t>
        </is>
      </c>
      <c r="K12" s="4" t="inlineStr">
        <is>
          <t>Accept</t>
        </is>
      </c>
      <c r="L12" s="13" t="inlineStr">
        <is>
          <t>Accepted</t>
        </is>
      </c>
    </row>
    <row r="13" ht="20" customHeight="1">
      <c r="A13" s="8" t="inlineStr">
        <is>
          <t>RISK-010</t>
        </is>
      </c>
      <c r="B13" s="9" t="inlineStr">
        <is>
          <t>Insecure Data Deletion at Contract Termination</t>
        </is>
      </c>
      <c r="C13" s="8" t="inlineStr">
        <is>
          <t>Data Retention</t>
        </is>
      </c>
      <c r="D13" s="8" t="n">
        <v>1</v>
      </c>
      <c r="E13" s="8" t="n">
        <v>4</v>
      </c>
      <c r="F13" s="8">
        <f>D13*E13</f>
        <v/>
      </c>
      <c r="G13" s="12" t="inlineStr">
        <is>
          <t>Low</t>
        </is>
      </c>
      <c r="H13" s="8" t="inlineStr">
        <is>
          <t>35%</t>
        </is>
      </c>
      <c r="I13" s="8">
        <f>F13*(1-0.35)</f>
        <v/>
      </c>
      <c r="J13" s="12" t="inlineStr">
        <is>
          <t>Low</t>
        </is>
      </c>
      <c r="K13" s="8" t="inlineStr">
        <is>
          <t>Accept</t>
        </is>
      </c>
      <c r="L13" s="13" t="inlineStr">
        <is>
          <t>Accepted</t>
        </is>
      </c>
    </row>
    <row r="15" ht="22" customHeight="1">
      <c r="A15" s="14" t="inlineStr">
        <is>
          <t>RISK SUMMARY DASHBOARD</t>
        </is>
      </c>
    </row>
    <row r="16" ht="28" customHeight="1">
      <c r="A16" s="15" t="inlineStr">
        <is>
          <t>Critical Risks</t>
        </is>
      </c>
      <c r="C16" s="16">
        <f>COUNTIF(J4:J13,"Critical")</f>
        <v/>
      </c>
      <c r="D16" s="17" t="inlineStr">
        <is>
          <t>High Risks</t>
        </is>
      </c>
      <c r="F16" s="18">
        <f>COUNTIF(J4:J13,"High")</f>
        <v/>
      </c>
      <c r="G16" s="19" t="inlineStr">
        <is>
          <t>Medium Risks</t>
        </is>
      </c>
      <c r="I16" s="20">
        <f>COUNTIF(J4:J13,"Medium")</f>
        <v/>
      </c>
      <c r="J16" s="21" t="inlineStr">
        <is>
          <t>Low Risks</t>
        </is>
      </c>
      <c r="L16" s="22">
        <f>COUNTIF(J4:J13,"Low")</f>
        <v/>
      </c>
    </row>
    <row r="18" ht="22" customHeight="1">
      <c r="A18" s="23" t="inlineStr">
        <is>
          <t>Overall Residual Risk:</t>
        </is>
      </c>
      <c r="E18" s="24" t="inlineStr">
        <is>
          <t>MEDIUM</t>
        </is>
      </c>
      <c r="H18" s="25" t="inlineStr">
        <is>
          <t>Recommendation: CONDITIONAL APPROVAL</t>
        </is>
      </c>
    </row>
  </sheetData>
  <mergeCells count="10">
    <mergeCell ref="A2:L2"/>
    <mergeCell ref="D16:E16"/>
    <mergeCell ref="A16:B16"/>
    <mergeCell ref="A15:L15"/>
    <mergeCell ref="A18:D18"/>
    <mergeCell ref="G16:H16"/>
    <mergeCell ref="J16:K16"/>
    <mergeCell ref="A1:L1"/>
    <mergeCell ref="H18:L18"/>
    <mergeCell ref="E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20" customWidth="1" min="4" max="4"/>
    <col width="18" customWidth="1" min="5" max="5"/>
    <col width="14" customWidth="1" min="6" max="6"/>
    <col width="14" customWidth="1" min="7" max="7"/>
  </cols>
  <sheetData>
    <row r="1" ht="28" customHeight="1">
      <c r="A1" s="26" t="inlineStr">
        <is>
          <t>Risk Scoring Methodology — TPRM-2025-007</t>
        </is>
      </c>
    </row>
    <row r="3" ht="18" customHeight="1">
      <c r="A3" s="27" t="inlineStr">
        <is>
          <t>LIKELIHOOD SCALE</t>
        </is>
      </c>
    </row>
    <row r="4">
      <c r="A4" s="28" t="inlineStr">
        <is>
          <t>Score</t>
        </is>
      </c>
      <c r="B4" s="28" t="inlineStr">
        <is>
          <t>Level</t>
        </is>
      </c>
      <c r="C4" s="28" t="inlineStr">
        <is>
          <t>Description</t>
        </is>
      </c>
      <c r="D4" s="29" t="n"/>
      <c r="E4" s="29" t="n"/>
      <c r="F4" s="29" t="n"/>
      <c r="G4" s="30" t="n"/>
    </row>
    <row r="5" ht="16" customHeight="1">
      <c r="A5" s="31" t="n">
        <v>1</v>
      </c>
      <c r="B5" s="31" t="inlineStr">
        <is>
          <t>Rare</t>
        </is>
      </c>
      <c r="C5" s="32" t="inlineStr">
        <is>
          <t>Unlikely to occur; no historical precedent in similar vendors</t>
        </is>
      </c>
      <c r="D5" s="29" t="n"/>
      <c r="E5" s="29" t="n"/>
      <c r="F5" s="29" t="n"/>
      <c r="G5" s="30" t="n"/>
    </row>
    <row r="6" ht="16" customHeight="1">
      <c r="A6" s="33" t="n">
        <v>2</v>
      </c>
      <c r="B6" s="33" t="inlineStr">
        <is>
          <t>Unlikely</t>
        </is>
      </c>
      <c r="C6" s="34" t="inlineStr">
        <is>
          <t>Possible but not expected; limited indicators</t>
        </is>
      </c>
      <c r="D6" s="29" t="n"/>
      <c r="E6" s="29" t="n"/>
      <c r="F6" s="29" t="n"/>
      <c r="G6" s="30" t="n"/>
    </row>
    <row r="7" ht="16" customHeight="1">
      <c r="A7" s="31" t="n">
        <v>3</v>
      </c>
      <c r="B7" s="31" t="inlineStr">
        <is>
          <t>Possible</t>
        </is>
      </c>
      <c r="C7" s="32" t="inlineStr">
        <is>
          <t>Could occur; some historical or industry precedent</t>
        </is>
      </c>
      <c r="D7" s="29" t="n"/>
      <c r="E7" s="29" t="n"/>
      <c r="F7" s="29" t="n"/>
      <c r="G7" s="30" t="n"/>
    </row>
    <row r="8" ht="16" customHeight="1">
      <c r="A8" s="33" t="n">
        <v>4</v>
      </c>
      <c r="B8" s="33" t="inlineStr">
        <is>
          <t>Likely</t>
        </is>
      </c>
      <c r="C8" s="34" t="inlineStr">
        <is>
          <t>Expected to occur at some point; common in industry</t>
        </is>
      </c>
      <c r="D8" s="29" t="n"/>
      <c r="E8" s="29" t="n"/>
      <c r="F8" s="29" t="n"/>
      <c r="G8" s="30" t="n"/>
    </row>
    <row r="9" ht="16" customHeight="1">
      <c r="A9" s="31" t="n">
        <v>5</v>
      </c>
      <c r="B9" s="31" t="inlineStr">
        <is>
          <t>Almost Certain</t>
        </is>
      </c>
      <c r="C9" s="32" t="inlineStr">
        <is>
          <t>Expected to occur; strong indicators or active threat</t>
        </is>
      </c>
      <c r="D9" s="29" t="n"/>
      <c r="E9" s="29" t="n"/>
      <c r="F9" s="29" t="n"/>
      <c r="G9" s="30" t="n"/>
    </row>
    <row r="11" ht="18" customHeight="1">
      <c r="A11" s="27" t="inlineStr">
        <is>
          <t>IMPACT SCALE</t>
        </is>
      </c>
    </row>
    <row r="12">
      <c r="A12" s="28" t="inlineStr">
        <is>
          <t>Score</t>
        </is>
      </c>
      <c r="B12" s="28" t="inlineStr">
        <is>
          <t>Level</t>
        </is>
      </c>
      <c r="C12" s="28" t="inlineStr">
        <is>
          <t>Description</t>
        </is>
      </c>
      <c r="D12" s="29" t="n"/>
      <c r="E12" s="29" t="n"/>
      <c r="F12" s="29" t="n"/>
      <c r="G12" s="30" t="n"/>
    </row>
    <row r="13" ht="16" customHeight="1">
      <c r="A13" s="31" t="n">
        <v>1</v>
      </c>
      <c r="B13" s="31" t="inlineStr">
        <is>
          <t>Negligible</t>
        </is>
      </c>
      <c r="C13" s="32" t="inlineStr">
        <is>
          <t>Minimal disruption; no data exposure; no regulatory trigger</t>
        </is>
      </c>
      <c r="D13" s="29" t="n"/>
      <c r="E13" s="29" t="n"/>
      <c r="F13" s="29" t="n"/>
      <c r="G13" s="30" t="n"/>
    </row>
    <row r="14" ht="16" customHeight="1">
      <c r="A14" s="33" t="n">
        <v>2</v>
      </c>
      <c r="B14" s="33" t="inlineStr">
        <is>
          <t>Minor</t>
        </is>
      </c>
      <c r="C14" s="34" t="inlineStr">
        <is>
          <t>Limited disruption; minor data exposure; no regulatory reporting</t>
        </is>
      </c>
      <c r="D14" s="29" t="n"/>
      <c r="E14" s="29" t="n"/>
      <c r="F14" s="29" t="n"/>
      <c r="G14" s="30" t="n"/>
    </row>
    <row r="15" ht="16" customHeight="1">
      <c r="A15" s="31" t="n">
        <v>3</v>
      </c>
      <c r="B15" s="31" t="inlineStr">
        <is>
          <t>Moderate</t>
        </is>
      </c>
      <c r="C15" s="32" t="inlineStr">
        <is>
          <t>Moderate disruption; limited PII exposure; regulatory review possible</t>
        </is>
      </c>
      <c r="D15" s="29" t="n"/>
      <c r="E15" s="29" t="n"/>
      <c r="F15" s="29" t="n"/>
      <c r="G15" s="30" t="n"/>
    </row>
    <row r="16" ht="16" customHeight="1">
      <c r="A16" s="33" t="n">
        <v>4</v>
      </c>
      <c r="B16" s="33" t="inlineStr">
        <is>
          <t>Significant</t>
        </is>
      </c>
      <c r="C16" s="34" t="inlineStr">
        <is>
          <t>Material disruption; broad PII exposure; regulatory reporting likely</t>
        </is>
      </c>
      <c r="D16" s="29" t="n"/>
      <c r="E16" s="29" t="n"/>
      <c r="F16" s="29" t="n"/>
      <c r="G16" s="30" t="n"/>
    </row>
    <row r="17" ht="16" customHeight="1">
      <c r="A17" s="31" t="n">
        <v>5</v>
      </c>
      <c r="B17" s="31" t="inlineStr">
        <is>
          <t>Severe</t>
        </is>
      </c>
      <c r="C17" s="32" t="inlineStr">
        <is>
          <t>Business-disrupting; large-scale data breach; regulatory action probable</t>
        </is>
      </c>
      <c r="D17" s="29" t="n"/>
      <c r="E17" s="29" t="n"/>
      <c r="F17" s="29" t="n"/>
      <c r="G17" s="30" t="n"/>
    </row>
    <row r="19" ht="18" customHeight="1">
      <c r="A19" s="27" t="inlineStr">
        <is>
          <t>RISK RATING THRESHOLDS</t>
        </is>
      </c>
    </row>
    <row r="20" ht="16" customHeight="1">
      <c r="A20" s="28" t="inlineStr">
        <is>
          <t>Score Range</t>
        </is>
      </c>
      <c r="B20" s="28" t="inlineStr">
        <is>
          <t>Rating</t>
        </is>
      </c>
      <c r="C20" s="28" t="inlineStr">
        <is>
          <t>Color</t>
        </is>
      </c>
      <c r="D20" s="28" t="inlineStr">
        <is>
          <t>Action Required</t>
        </is>
      </c>
      <c r="E20" s="29" t="n"/>
      <c r="F20" s="29" t="n"/>
      <c r="G20" s="30" t="n"/>
    </row>
    <row r="21" ht="16" customHeight="1">
      <c r="A21" s="35" t="inlineStr">
        <is>
          <t>20–25</t>
        </is>
      </c>
      <c r="B21" s="36" t="inlineStr">
        <is>
          <t>Critical</t>
        </is>
      </c>
      <c r="C21" s="35" t="inlineStr">
        <is>
          <t>🔴</t>
        </is>
      </c>
      <c r="D21" s="37" t="inlineStr">
        <is>
          <t>Immediate escalation; vendor onboarding blocked</t>
        </is>
      </c>
      <c r="E21" s="29" t="n"/>
      <c r="F21" s="29" t="n"/>
      <c r="G21" s="30" t="n"/>
    </row>
    <row r="22" ht="16" customHeight="1">
      <c r="A22" s="38" t="inlineStr">
        <is>
          <t>12–19</t>
        </is>
      </c>
      <c r="B22" s="39" t="inlineStr">
        <is>
          <t>High</t>
        </is>
      </c>
      <c r="C22" s="38" t="inlineStr">
        <is>
          <t>🟠</t>
        </is>
      </c>
      <c r="D22" s="40" t="inlineStr">
        <is>
          <t>Conditional approval; remediation within 90 days</t>
        </is>
      </c>
      <c r="E22" s="29" t="n"/>
      <c r="F22" s="29" t="n"/>
      <c r="G22" s="30" t="n"/>
    </row>
    <row r="23" ht="16" customHeight="1">
      <c r="A23" s="41" t="inlineStr">
        <is>
          <t>6–11</t>
        </is>
      </c>
      <c r="B23" s="42" t="inlineStr">
        <is>
          <t>Medium</t>
        </is>
      </c>
      <c r="C23" s="41" t="inlineStr">
        <is>
          <t>🟡</t>
        </is>
      </c>
      <c r="D23" s="43" t="inlineStr">
        <is>
          <t>Accepted with remediation plan; monitor quarterly</t>
        </is>
      </c>
      <c r="E23" s="29" t="n"/>
      <c r="F23" s="29" t="n"/>
      <c r="G23" s="30" t="n"/>
    </row>
    <row r="24" ht="16" customHeight="1">
      <c r="A24" s="44" t="inlineStr">
        <is>
          <t>1–5</t>
        </is>
      </c>
      <c r="B24" s="45" t="inlineStr">
        <is>
          <t>Low</t>
        </is>
      </c>
      <c r="C24" s="44" t="inlineStr">
        <is>
          <t>🟢</t>
        </is>
      </c>
      <c r="D24" s="46" t="inlineStr">
        <is>
          <t>Accepted; review at next annual assessment</t>
        </is>
      </c>
      <c r="E24" s="29" t="n"/>
      <c r="F24" s="29" t="n"/>
      <c r="G24" s="30" t="n"/>
    </row>
  </sheetData>
  <mergeCells count="21">
    <mergeCell ref="C6:G6"/>
    <mergeCell ref="C15:G15"/>
    <mergeCell ref="D24:G24"/>
    <mergeCell ref="C5:G5"/>
    <mergeCell ref="C14:G14"/>
    <mergeCell ref="A19:G19"/>
    <mergeCell ref="D23:G23"/>
    <mergeCell ref="C4:G4"/>
    <mergeCell ref="C16:G16"/>
    <mergeCell ref="D20:G20"/>
    <mergeCell ref="A11:G11"/>
    <mergeCell ref="C9:G9"/>
    <mergeCell ref="D22:G22"/>
    <mergeCell ref="A1:G1"/>
    <mergeCell ref="C12:G12"/>
    <mergeCell ref="D21:G21"/>
    <mergeCell ref="C8:G8"/>
    <mergeCell ref="C17:G17"/>
    <mergeCell ref="C7:G7"/>
    <mergeCell ref="A3:G3"/>
    <mergeCell ref="C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2026-03-12T04:52:56Z</dcterms:created>
  <dcterms:modified xmlns:dcterms="http://purl.org/dc/terms/" xmlns:xsi="http://www.w3.org/2001/XMLSchema-instance" xsi:type="dcterms:W3CDTF">2026-03-12T04:52:56Z</dcterms:modified>
</cp:coreProperties>
</file>