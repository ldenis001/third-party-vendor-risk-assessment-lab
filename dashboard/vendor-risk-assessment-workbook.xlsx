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SO 27001" sheetId="2" state="visible" r:id="rId4"/>
    <sheet name="SOC 2" sheetId="3" state="visible" r:id="rId5"/>
    <sheet name="FedRAMP" sheetId="4" state="visible" r:id="rId6"/>
    <sheet name="GDPR" sheetId="5" state="visible" r:id="rId7"/>
    <sheet name="HIPAA" sheetId="6" state="visible" r:id="rId8"/>
    <sheet name="NIST CSF" sheetId="7" state="visible" r:id="rId9"/>
    <sheet name="PCI DSS" sheetId="8" state="visible" r:id="rId10"/>
    <sheet name="TSA Cyber" sheetId="9" state="visible" r:id="rId11"/>
    <sheet name="ISO 42001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<sst xmlns="http://schemas.openxmlformats.org/spreadsheetml/2006/main" count="557" uniqueCount="380">
  <si>
    <t xml:space="preserve">THIRD-PARTY VENDOR RISK ASSESSMENT</t>
  </si>
  <si>
    <t xml:space="preserve">Vendor Name:</t>
  </si>
  <si>
    <t xml:space="preserve">Assessment Date:</t>
  </si>
  <si>
    <t xml:space="preserve">Industry:</t>
  </si>
  <si>
    <t xml:space="preserve">Assessed By:</t>
  </si>
  <si>
    <t xml:space="preserve">FRAMEWORK COMPLIANCE SUMMARY</t>
  </si>
  <si>
    <t xml:space="preserve">Framework</t>
  </si>
  <si>
    <t xml:space="preserve">Score</t>
  </si>
  <si>
    <t xml:space="preserve">Risk Level</t>
  </si>
  <si>
    <t xml:space="preserve">Compliant</t>
  </si>
  <si>
    <t xml:space="preserve">Partial</t>
  </si>
  <si>
    <t xml:space="preserve">Non-Compliant</t>
  </si>
  <si>
    <t xml:space="preserve">N/A</t>
  </si>
  <si>
    <t xml:space="preserve">ISO 27001</t>
  </si>
  <si>
    <t xml:space="preserve">SOC 2</t>
  </si>
  <si>
    <t xml:space="preserve">FedRAMP</t>
  </si>
  <si>
    <t xml:space="preserve">GDPR</t>
  </si>
  <si>
    <t xml:space="preserve">HIPAA</t>
  </si>
  <si>
    <t xml:space="preserve">NIST CSF</t>
  </si>
  <si>
    <t xml:space="preserve">PCI DSS</t>
  </si>
  <si>
    <t xml:space="preserve">TSA Cyber</t>
  </si>
  <si>
    <t xml:space="preserve">ISO 42001</t>
  </si>
  <si>
    <t xml:space="preserve">OVERALL COMPOSITE SCORE</t>
  </si>
  <si>
    <t xml:space="preserve">ISO 27001 — Vendor Compliance Assessment</t>
  </si>
  <si>
    <t xml:space="preserve">Control ID</t>
  </si>
  <si>
    <t xml:space="preserve">Requirement</t>
  </si>
  <si>
    <t xml:space="preserve">Category</t>
  </si>
  <si>
    <t xml:space="preserve">Weight</t>
  </si>
  <si>
    <t xml:space="preserve">Status</t>
  </si>
  <si>
    <t xml:space="preserve">Evidence / Notes</t>
  </si>
  <si>
    <t xml:space="preserve">Gap Action</t>
  </si>
  <si>
    <t xml:space="preserve">A.5.1</t>
  </si>
  <si>
    <t xml:space="preserve">Information security policies established and reviewed</t>
  </si>
  <si>
    <t xml:space="preserve">Organizational</t>
  </si>
  <si>
    <t xml:space="preserve">A.5.2</t>
  </si>
  <si>
    <t xml:space="preserve">Information security roles and responsibilities defined</t>
  </si>
  <si>
    <t xml:space="preserve">A.5.7</t>
  </si>
  <si>
    <t xml:space="preserve">Threat intelligence collected and analysed</t>
  </si>
  <si>
    <t xml:space="preserve">A.5.10</t>
  </si>
  <si>
    <t xml:space="preserve">Acceptable use of information and assets policy</t>
  </si>
  <si>
    <t xml:space="preserve">A.5.15</t>
  </si>
  <si>
    <t xml:space="preserve">Access control policy and enforcement</t>
  </si>
  <si>
    <t xml:space="preserve">A.5.19</t>
  </si>
  <si>
    <t xml:space="preserve">Information security in supplier relationships</t>
  </si>
  <si>
    <t xml:space="preserve">A.5.23</t>
  </si>
  <si>
    <t xml:space="preserve">Cloud services security requirements</t>
  </si>
  <si>
    <t xml:space="preserve">A.5.24</t>
  </si>
  <si>
    <t xml:space="preserve">Incident management planning and preparation</t>
  </si>
  <si>
    <t xml:space="preserve">A.5.29</t>
  </si>
  <si>
    <t xml:space="preserve">Business continuity — ICT readiness</t>
  </si>
  <si>
    <t xml:space="preserve">A.6.1</t>
  </si>
  <si>
    <t xml:space="preserve">Personnel screening and background checks</t>
  </si>
  <si>
    <t xml:space="preserve">People</t>
  </si>
  <si>
    <t xml:space="preserve">A.6.3</t>
  </si>
  <si>
    <t xml:space="preserve">Information security awareness and training</t>
  </si>
  <si>
    <t xml:space="preserve">A.7.1</t>
  </si>
  <si>
    <t xml:space="preserve">Physical security perimeters defined</t>
  </si>
  <si>
    <t xml:space="preserve">Physical</t>
  </si>
  <si>
    <t xml:space="preserve">A.8.1</t>
  </si>
  <si>
    <t xml:space="preserve">User endpoint devices secured</t>
  </si>
  <si>
    <t xml:space="preserve">Technological</t>
  </si>
  <si>
    <t xml:space="preserve">A.8.5</t>
  </si>
  <si>
    <t xml:space="preserve">Secure authentication mechanisms</t>
  </si>
  <si>
    <t xml:space="preserve">A.8.9</t>
  </si>
  <si>
    <t xml:space="preserve">Configuration management of systems</t>
  </si>
  <si>
    <t xml:space="preserve">A.8.12</t>
  </si>
  <si>
    <t xml:space="preserve">Data leakage prevention implemented</t>
  </si>
  <si>
    <t xml:space="preserve">A.8.15</t>
  </si>
  <si>
    <t xml:space="preserve">Logging and monitoring of activities</t>
  </si>
  <si>
    <t xml:space="preserve">A.8.24</t>
  </si>
  <si>
    <t xml:space="preserve">Cryptography — encryption at rest and in transit</t>
  </si>
  <si>
    <t xml:space="preserve">A.8.28</t>
  </si>
  <si>
    <t xml:space="preserve">Secure coding practices enforced</t>
  </si>
  <si>
    <t xml:space="preserve">SUMMARY</t>
  </si>
  <si>
    <t xml:space="preserve">SOC 2 — Vendor Compliance Assessment</t>
  </si>
  <si>
    <t xml:space="preserve">CC1.1</t>
  </si>
  <si>
    <t xml:space="preserve">Commitment to integrity and ethical values</t>
  </si>
  <si>
    <t xml:space="preserve">Control Environment</t>
  </si>
  <si>
    <t xml:space="preserve">CC1.3</t>
  </si>
  <si>
    <t xml:space="preserve">Board oversight of internal controls</t>
  </si>
  <si>
    <t xml:space="preserve">CC2.1</t>
  </si>
  <si>
    <t xml:space="preserve">Information quality and communication of objectives</t>
  </si>
  <si>
    <t xml:space="preserve">Communication</t>
  </si>
  <si>
    <t xml:space="preserve">CC3.1</t>
  </si>
  <si>
    <t xml:space="preserve">Risk assessment process and identification of risks</t>
  </si>
  <si>
    <t xml:space="preserve">Risk Assessment</t>
  </si>
  <si>
    <t xml:space="preserve">CC3.4</t>
  </si>
  <si>
    <t xml:space="preserve">Assessment of fraud risk</t>
  </si>
  <si>
    <t xml:space="preserve">CC5.1</t>
  </si>
  <si>
    <t xml:space="preserve">Control activities mitigate risks to acceptable levels</t>
  </si>
  <si>
    <t xml:space="preserve">Control Activities</t>
  </si>
  <si>
    <t xml:space="preserve">CC6.1</t>
  </si>
  <si>
    <t xml:space="preserve">Logical access security — authentication and authorisation</t>
  </si>
  <si>
    <t xml:space="preserve">Access Controls</t>
  </si>
  <si>
    <t xml:space="preserve">CC6.3</t>
  </si>
  <si>
    <t xml:space="preserve">Role-based access and least privilege</t>
  </si>
  <si>
    <t xml:space="preserve">CC6.6</t>
  </si>
  <si>
    <t xml:space="preserve">External threats — boundary protection measures</t>
  </si>
  <si>
    <t xml:space="preserve">CC6.8</t>
  </si>
  <si>
    <t xml:space="preserve">Controls to prevent or detect unauthorised software</t>
  </si>
  <si>
    <t xml:space="preserve">CC7.1</t>
  </si>
  <si>
    <t xml:space="preserve">Vulnerability and configuration management</t>
  </si>
  <si>
    <t xml:space="preserve">System Operations</t>
  </si>
  <si>
    <t xml:space="preserve">CC7.2</t>
  </si>
  <si>
    <t xml:space="preserve">Anomaly detection and continuous monitoring</t>
  </si>
  <si>
    <t xml:space="preserve">CC7.3</t>
  </si>
  <si>
    <t xml:space="preserve">Incident response evaluation and escalation</t>
  </si>
  <si>
    <t xml:space="preserve">CC8.1</t>
  </si>
  <si>
    <t xml:space="preserve">Change management — authorisation and testing</t>
  </si>
  <si>
    <t xml:space="preserve">Change Mgmt</t>
  </si>
  <si>
    <t xml:space="preserve">CC9.2</t>
  </si>
  <si>
    <t xml:space="preserve">Vendor and third-party risk management</t>
  </si>
  <si>
    <t xml:space="preserve">Risk Mitigation</t>
  </si>
  <si>
    <t xml:space="preserve">A1.1</t>
  </si>
  <si>
    <t xml:space="preserve">Availability — capacity planning and recovery objectives</t>
  </si>
  <si>
    <t xml:space="preserve">Availability</t>
  </si>
  <si>
    <t xml:space="preserve">C1.1</t>
  </si>
  <si>
    <t xml:space="preserve">Confidentiality — classification and protection of data</t>
  </si>
  <si>
    <t xml:space="preserve">Confidentiality</t>
  </si>
  <si>
    <t xml:space="preserve">PI1.1</t>
  </si>
  <si>
    <t xml:space="preserve">Processing integrity — accuracy and completeness</t>
  </si>
  <si>
    <t xml:space="preserve">Processing Integrity</t>
  </si>
  <si>
    <t xml:space="preserve">FedRAMP — Vendor Compliance Assessment</t>
  </si>
  <si>
    <t xml:space="preserve">AC</t>
  </si>
  <si>
    <t xml:space="preserve">Access Control — IAM, RBAC, least privilege, remote access</t>
  </si>
  <si>
    <t xml:space="preserve">Access Control</t>
  </si>
  <si>
    <t xml:space="preserve">AT</t>
  </si>
  <si>
    <t xml:space="preserve">Awareness &amp; Training — security and privacy training</t>
  </si>
  <si>
    <t xml:space="preserve">Awareness</t>
  </si>
  <si>
    <t xml:space="preserve">AU</t>
  </si>
  <si>
    <t xml:space="preserve">Audit &amp; Accountability — logging, SIEM, audit review</t>
  </si>
  <si>
    <t xml:space="preserve">Audit</t>
  </si>
  <si>
    <t xml:space="preserve">CA</t>
  </si>
  <si>
    <t xml:space="preserve">Assessment &amp; Authorization — ConMon, 3PAO, ATO process</t>
  </si>
  <si>
    <t xml:space="preserve">Assessment</t>
  </si>
  <si>
    <t xml:space="preserve">CM</t>
  </si>
  <si>
    <t xml:space="preserve">Configuration Management — baselines, change control</t>
  </si>
  <si>
    <t xml:space="preserve">Config Mgmt</t>
  </si>
  <si>
    <t xml:space="preserve">CP</t>
  </si>
  <si>
    <t xml:space="preserve">Contingency Planning — BCP/DR tested annually</t>
  </si>
  <si>
    <t xml:space="preserve">Contingency</t>
  </si>
  <si>
    <t xml:space="preserve">IA</t>
  </si>
  <si>
    <t xml:space="preserve">Identification &amp; Authentication — MFA, FIPS 140-2/3</t>
  </si>
  <si>
    <t xml:space="preserve">Auth</t>
  </si>
  <si>
    <t xml:space="preserve">IR</t>
  </si>
  <si>
    <t xml:space="preserve">Incident Response — IRP tested annually, reporting SLAs</t>
  </si>
  <si>
    <t xml:space="preserve">Incident</t>
  </si>
  <si>
    <t xml:space="preserve">PE</t>
  </si>
  <si>
    <t xml:space="preserve">Physical &amp; Environmental — datacenter controls</t>
  </si>
  <si>
    <t xml:space="preserve">PL</t>
  </si>
  <si>
    <t xml:space="preserve">Planning — SSP, rules of behavior</t>
  </si>
  <si>
    <t xml:space="preserve">Planning</t>
  </si>
  <si>
    <t xml:space="preserve">PT</t>
  </si>
  <si>
    <t xml:space="preserve">PII Processing &amp; Transparency — privacy controls</t>
  </si>
  <si>
    <t xml:space="preserve">Privacy</t>
  </si>
  <si>
    <t xml:space="preserve">RA</t>
  </si>
  <si>
    <t xml:space="preserve">Risk Assessment — vulnerability scanning, MITRE ATT&amp;CK</t>
  </si>
  <si>
    <t xml:space="preserve">Risk</t>
  </si>
  <si>
    <t xml:space="preserve">SA</t>
  </si>
  <si>
    <t xml:space="preserve">System &amp; Services Acquisition — SDLC, supply chain</t>
  </si>
  <si>
    <t xml:space="preserve">Acquisition</t>
  </si>
  <si>
    <t xml:space="preserve">SC</t>
  </si>
  <si>
    <t xml:space="preserve">System &amp; Comms Protection — encryption, segmentation</t>
  </si>
  <si>
    <t xml:space="preserve">Comms</t>
  </si>
  <si>
    <t xml:space="preserve">SI</t>
  </si>
  <si>
    <t xml:space="preserve">System &amp; Info Integrity — patching, malware, monitoring</t>
  </si>
  <si>
    <t xml:space="preserve">Integrity</t>
  </si>
  <si>
    <t xml:space="preserve">SR</t>
  </si>
  <si>
    <t xml:space="preserve">Supply Chain Risk Management</t>
  </si>
  <si>
    <t xml:space="preserve">Supply Chain</t>
  </si>
  <si>
    <t xml:space="preserve">GDPR — Vendor Compliance Assessment</t>
  </si>
  <si>
    <t xml:space="preserve">Art.5</t>
  </si>
  <si>
    <t xml:space="preserve">Principles — lawfulness, fairness, transparency, minimisation</t>
  </si>
  <si>
    <t xml:space="preserve">Principles</t>
  </si>
  <si>
    <t xml:space="preserve">Art.6</t>
  </si>
  <si>
    <t xml:space="preserve">Lawful basis for processing established and documented</t>
  </si>
  <si>
    <t xml:space="preserve">Lawful Basis</t>
  </si>
  <si>
    <t xml:space="preserve">Art.7</t>
  </si>
  <si>
    <t xml:space="preserve">Consent — freely given, specific, informed, withdrawable</t>
  </si>
  <si>
    <t xml:space="preserve">Consent</t>
  </si>
  <si>
    <t xml:space="preserve">Art.12-14</t>
  </si>
  <si>
    <t xml:space="preserve">Transparency — privacy notice with required information</t>
  </si>
  <si>
    <t xml:space="preserve">Transparency</t>
  </si>
  <si>
    <t xml:space="preserve">Art.15-22</t>
  </si>
  <si>
    <t xml:space="preserve">Data subject rights — access, rectification, erasure, portability</t>
  </si>
  <si>
    <t xml:space="preserve">Rights</t>
  </si>
  <si>
    <t xml:space="preserve">Art.24-25</t>
  </si>
  <si>
    <t xml:space="preserve">Privacy by design and by default</t>
  </si>
  <si>
    <t xml:space="preserve">Privacy Design</t>
  </si>
  <si>
    <t xml:space="preserve">Art.28</t>
  </si>
  <si>
    <t xml:space="preserve">Processor agreements — DPA with all Art.28 clauses</t>
  </si>
  <si>
    <t xml:space="preserve">Processors</t>
  </si>
  <si>
    <t xml:space="preserve">Art.30</t>
  </si>
  <si>
    <t xml:space="preserve">Records of processing activities (RoPA)</t>
  </si>
  <si>
    <t xml:space="preserve">Documentation</t>
  </si>
  <si>
    <t xml:space="preserve">Art.32</t>
  </si>
  <si>
    <t xml:space="preserve">Security of processing — encryption, pseudonymisation</t>
  </si>
  <si>
    <t xml:space="preserve">Security</t>
  </si>
  <si>
    <t xml:space="preserve">Art.33</t>
  </si>
  <si>
    <t xml:space="preserve">Breach notification to supervisory authority (72 hours)</t>
  </si>
  <si>
    <t xml:space="preserve">Breach</t>
  </si>
  <si>
    <t xml:space="preserve">Art.34</t>
  </si>
  <si>
    <t xml:space="preserve">Breach notification to data subjects (high risk)</t>
  </si>
  <si>
    <t xml:space="preserve">Art.35</t>
  </si>
  <si>
    <t xml:space="preserve">DPIA for high-risk processing</t>
  </si>
  <si>
    <t xml:space="preserve">DPIA</t>
  </si>
  <si>
    <t xml:space="preserve">Art.37-39</t>
  </si>
  <si>
    <t xml:space="preserve">DPO designation if required</t>
  </si>
  <si>
    <t xml:space="preserve">DPO</t>
  </si>
  <si>
    <t xml:space="preserve">Art.44-49</t>
  </si>
  <si>
    <t xml:space="preserve">Cross-border transfer safeguards — SCCs, adequacy, BCRs</t>
  </si>
  <si>
    <t xml:space="preserve">Transfers</t>
  </si>
  <si>
    <t xml:space="preserve">HIPAA — Vendor Compliance Assessment</t>
  </si>
  <si>
    <t xml:space="preserve">§164.308(a)(1)</t>
  </si>
  <si>
    <t xml:space="preserve">Security management — risk analysis and risk management</t>
  </si>
  <si>
    <t xml:space="preserve">Administrative</t>
  </si>
  <si>
    <t xml:space="preserve">§164.308(a)(3)</t>
  </si>
  <si>
    <t xml:space="preserve">Workforce security — authorisation and supervision</t>
  </si>
  <si>
    <t xml:space="preserve">§164.308(a)(4)</t>
  </si>
  <si>
    <t xml:space="preserve">Information access management</t>
  </si>
  <si>
    <t xml:space="preserve">§164.308(a)(5)</t>
  </si>
  <si>
    <t xml:space="preserve">Security awareness and training programme</t>
  </si>
  <si>
    <t xml:space="preserve">§164.308(a)(6)</t>
  </si>
  <si>
    <t xml:space="preserve">Security incident procedures and response</t>
  </si>
  <si>
    <t xml:space="preserve">§164.308(a)(7)</t>
  </si>
  <si>
    <t xml:space="preserve">Contingency plan — backup, disaster recovery</t>
  </si>
  <si>
    <t xml:space="preserve">§164.308(b)</t>
  </si>
  <si>
    <t xml:space="preserve">Business associate contracts (BAA)</t>
  </si>
  <si>
    <t xml:space="preserve">§164.310(a)</t>
  </si>
  <si>
    <t xml:space="preserve">Facility access controls</t>
  </si>
  <si>
    <t xml:space="preserve">§164.310(d)</t>
  </si>
  <si>
    <t xml:space="preserve">Device and media controls — disposal, re-use</t>
  </si>
  <si>
    <t xml:space="preserve">§164.312(a)</t>
  </si>
  <si>
    <t xml:space="preserve">Access control — unique user IDs, auto logoff</t>
  </si>
  <si>
    <t xml:space="preserve">Technical</t>
  </si>
  <si>
    <t xml:space="preserve">§164.312(b)</t>
  </si>
  <si>
    <t xml:space="preserve">Audit controls — logging of ePHI access</t>
  </si>
  <si>
    <t xml:space="preserve">§164.312(c)</t>
  </si>
  <si>
    <t xml:space="preserve">Integrity controls — authenticate ePHI</t>
  </si>
  <si>
    <t xml:space="preserve">§164.312(d)</t>
  </si>
  <si>
    <t xml:space="preserve">Person or entity authentication</t>
  </si>
  <si>
    <t xml:space="preserve">§164.312(e)</t>
  </si>
  <si>
    <t xml:space="preserve">Transmission security — encryption in transit</t>
  </si>
  <si>
    <t xml:space="preserve">§164.520</t>
  </si>
  <si>
    <t xml:space="preserve">Notice of privacy practices</t>
  </si>
  <si>
    <t xml:space="preserve">Privacy Rule</t>
  </si>
  <si>
    <t xml:space="preserve">§164.524</t>
  </si>
  <si>
    <t xml:space="preserve">Individual right of access to PHI</t>
  </si>
  <si>
    <t xml:space="preserve">NIST CSF — Vendor Compliance Assessment</t>
  </si>
  <si>
    <t xml:space="preserve">GV.OC</t>
  </si>
  <si>
    <t xml:space="preserve">Organisational context — mission, stakeholders, legal</t>
  </si>
  <si>
    <t xml:space="preserve">Govern</t>
  </si>
  <si>
    <t xml:space="preserve">GV.RM</t>
  </si>
  <si>
    <t xml:space="preserve">Risk management strategy — appetite, tolerance</t>
  </si>
  <si>
    <t xml:space="preserve">GV.RR</t>
  </si>
  <si>
    <t xml:space="preserve">Roles, responsibilities, and authorities</t>
  </si>
  <si>
    <t xml:space="preserve">GV.SC</t>
  </si>
  <si>
    <t xml:space="preserve">Supply chain risk management strategy</t>
  </si>
  <si>
    <t xml:space="preserve">ID.AM</t>
  </si>
  <si>
    <t xml:space="preserve">Asset management — hardware, software, data inventory</t>
  </si>
  <si>
    <t xml:space="preserve">Identify</t>
  </si>
  <si>
    <t xml:space="preserve">ID.RA</t>
  </si>
  <si>
    <t xml:space="preserve">Risk assessment — threats, vulnerabilities, impact</t>
  </si>
  <si>
    <t xml:space="preserve">PR.AA</t>
  </si>
  <si>
    <t xml:space="preserve">Access control — identity, authentication, authorisation</t>
  </si>
  <si>
    <t xml:space="preserve">Protect</t>
  </si>
  <si>
    <t xml:space="preserve">PR.AT</t>
  </si>
  <si>
    <t xml:space="preserve">Awareness and training for all personnel</t>
  </si>
  <si>
    <t xml:space="preserve">PR.DS</t>
  </si>
  <si>
    <t xml:space="preserve">Data security — at rest, in transit, integrity</t>
  </si>
  <si>
    <t xml:space="preserve">PR.PS</t>
  </si>
  <si>
    <t xml:space="preserve">Platform security — config baselines, secure by design</t>
  </si>
  <si>
    <t xml:space="preserve">PR.IR</t>
  </si>
  <si>
    <t xml:space="preserve">Infrastructure resilience — backups, redundancy</t>
  </si>
  <si>
    <t xml:space="preserve">DE.CM</t>
  </si>
  <si>
    <t xml:space="preserve">Continuous monitoring — network, environment, personnel</t>
  </si>
  <si>
    <t xml:space="preserve">Detect</t>
  </si>
  <si>
    <t xml:space="preserve">DE.AE</t>
  </si>
  <si>
    <t xml:space="preserve">Adverse event analysis — anomaly detection</t>
  </si>
  <si>
    <t xml:space="preserve">RS.MA</t>
  </si>
  <si>
    <t xml:space="preserve">Incident management — triage, escalation, containment</t>
  </si>
  <si>
    <t xml:space="preserve">Respond</t>
  </si>
  <si>
    <t xml:space="preserve">RS.CO</t>
  </si>
  <si>
    <t xml:space="preserve">Incident reporting and communication</t>
  </si>
  <si>
    <t xml:space="preserve">RC.RP</t>
  </si>
  <si>
    <t xml:space="preserve">Recovery plan execution — restore operations</t>
  </si>
  <si>
    <t xml:space="preserve">Recover</t>
  </si>
  <si>
    <t xml:space="preserve">PCI DSS — Vendor Compliance Assessment</t>
  </si>
  <si>
    <t xml:space="preserve">Req 1</t>
  </si>
  <si>
    <t xml:space="preserve">Network security controls (firewalls, NSCs)</t>
  </si>
  <si>
    <t xml:space="preserve">Secure Network</t>
  </si>
  <si>
    <t xml:space="preserve">Req 2</t>
  </si>
  <si>
    <t xml:space="preserve">Secure configurations for all system components</t>
  </si>
  <si>
    <t xml:space="preserve">Req 3</t>
  </si>
  <si>
    <t xml:space="preserve">Protect stored account data (PAN encryption)</t>
  </si>
  <si>
    <t xml:space="preserve">Protect Data</t>
  </si>
  <si>
    <t xml:space="preserve">Req 4</t>
  </si>
  <si>
    <t xml:space="preserve">Protect CHD in transit with strong cryptography</t>
  </si>
  <si>
    <t xml:space="preserve">Req 5</t>
  </si>
  <si>
    <t xml:space="preserve">Anti-malware solutions on all systems</t>
  </si>
  <si>
    <t xml:space="preserve">Vuln Mgmt</t>
  </si>
  <si>
    <t xml:space="preserve">Req 6</t>
  </si>
  <si>
    <t xml:space="preserve">Develop and maintain secure systems and software</t>
  </si>
  <si>
    <t xml:space="preserve">Req 7</t>
  </si>
  <si>
    <t xml:space="preserve">Restrict access by business need-to-know</t>
  </si>
  <si>
    <t xml:space="preserve">Req 8</t>
  </si>
  <si>
    <t xml:space="preserve">Identify users and authenticate access</t>
  </si>
  <si>
    <t xml:space="preserve">Req 9</t>
  </si>
  <si>
    <t xml:space="preserve">Restrict physical access to cardholder data</t>
  </si>
  <si>
    <t xml:space="preserve">Req 10</t>
  </si>
  <si>
    <t xml:space="preserve">Log and monitor all access to CHD</t>
  </si>
  <si>
    <t xml:space="preserve">Monitoring</t>
  </si>
  <si>
    <t xml:space="preserve">Req 11</t>
  </si>
  <si>
    <t xml:space="preserve">Test security regularly (pen tests, ASV scans)</t>
  </si>
  <si>
    <t xml:space="preserve">Req 12</t>
  </si>
  <si>
    <t xml:space="preserve">Information security policies and programmes</t>
  </si>
  <si>
    <t xml:space="preserve">Policy</t>
  </si>
  <si>
    <t xml:space="preserve">TSA Cyber — Vendor Compliance Assessment</t>
  </si>
  <si>
    <t xml:space="preserve">CCS-1</t>
  </si>
  <si>
    <t xml:space="preserve">Critical Cyber Systems identification and boundary</t>
  </si>
  <si>
    <t xml:space="preserve">CCS</t>
  </si>
  <si>
    <t xml:space="preserve">COORD</t>
  </si>
  <si>
    <t xml:space="preserve">Cybersecurity Coordinator designated 24/7</t>
  </si>
  <si>
    <t xml:space="preserve">Governance</t>
  </si>
  <si>
    <t xml:space="preserve">IRP</t>
  </si>
  <si>
    <t xml:space="preserve">Incident response plan developed and tested</t>
  </si>
  <si>
    <t xml:space="preserve">Incident Response</t>
  </si>
  <si>
    <t xml:space="preserve">CISA-RPT</t>
  </si>
  <si>
    <t xml:space="preserve">Incident reporting to CISA within timeline</t>
  </si>
  <si>
    <t xml:space="preserve">SEG</t>
  </si>
  <si>
    <t xml:space="preserve">IT/OT network segmentation</t>
  </si>
  <si>
    <t xml:space="preserve">Network Security</t>
  </si>
  <si>
    <t xml:space="preserve">ACCESS</t>
  </si>
  <si>
    <t xml:space="preserve">Access control for Critical Cyber Systems</t>
  </si>
  <si>
    <t xml:space="preserve">PATCH</t>
  </si>
  <si>
    <t xml:space="preserve">Continuous monitoring and patching of CCS</t>
  </si>
  <si>
    <t xml:space="preserve">Vulnerability Mgmt</t>
  </si>
  <si>
    <t xml:space="preserve">CIP</t>
  </si>
  <si>
    <t xml:space="preserve">Cybersecurity Implementation Plan developed</t>
  </si>
  <si>
    <t xml:space="preserve">CAP</t>
  </si>
  <si>
    <t xml:space="preserve">Cybersecurity Assessment Plan — annual</t>
  </si>
  <si>
    <t xml:space="preserve">CRMP</t>
  </si>
  <si>
    <t xml:space="preserve">Cyber Risk Management Program — ongoing</t>
  </si>
  <si>
    <t xml:space="preserve">Risk Management</t>
  </si>
  <si>
    <t xml:space="preserve">ISO 42001 — Vendor Compliance Assessment</t>
  </si>
  <si>
    <t xml:space="preserve">A.2.2</t>
  </si>
  <si>
    <t xml:space="preserve">AI policy — responsible AI principles, scope, objectives</t>
  </si>
  <si>
    <t xml:space="preserve">AI Governance</t>
  </si>
  <si>
    <t xml:space="preserve">A.2.3</t>
  </si>
  <si>
    <t xml:space="preserve">Roles and responsibilities for AI governance</t>
  </si>
  <si>
    <t xml:space="preserve">A.3.2</t>
  </si>
  <si>
    <t xml:space="preserve">AI risk assessment — likelihood × severity</t>
  </si>
  <si>
    <t xml:space="preserve">AI Risk</t>
  </si>
  <si>
    <t xml:space="preserve">A.3.3</t>
  </si>
  <si>
    <t xml:space="preserve">AI system impact assessment (AISIA)</t>
  </si>
  <si>
    <t xml:space="preserve">A.4.2</t>
  </si>
  <si>
    <t xml:space="preserve">Intended purpose documented for each AI system</t>
  </si>
  <si>
    <t xml:space="preserve">AI Lifecycle</t>
  </si>
  <si>
    <t xml:space="preserve">A.4.5</t>
  </si>
  <si>
    <t xml:space="preserve">AI system lifecycle management</t>
  </si>
  <si>
    <t xml:space="preserve">AI system logging and monitoring</t>
  </si>
  <si>
    <t xml:space="preserve">AI Operations</t>
  </si>
  <si>
    <t xml:space="preserve">A.5.4</t>
  </si>
  <si>
    <t xml:space="preserve">Human oversight controls for AI decisions</t>
  </si>
  <si>
    <t xml:space="preserve">Processes for responsible and ethical AI</t>
  </si>
  <si>
    <t xml:space="preserve">Responsible AI</t>
  </si>
  <si>
    <t xml:space="preserve">A.6.2</t>
  </si>
  <si>
    <t xml:space="preserve">Transparency and explainability of AI outputs</t>
  </si>
  <si>
    <t xml:space="preserve">A.7.2</t>
  </si>
  <si>
    <t xml:space="preserve">Data quality for training and validation data</t>
  </si>
  <si>
    <t xml:space="preserve">Data Governance</t>
  </si>
  <si>
    <t xml:space="preserve">A.7.4</t>
  </si>
  <si>
    <t xml:space="preserve">Data provenance, lineage, and bias controls</t>
  </si>
  <si>
    <t xml:space="preserve">AI incident management and response</t>
  </si>
  <si>
    <t xml:space="preserve">AI Incident</t>
  </si>
  <si>
    <t xml:space="preserve">A.9.1</t>
  </si>
  <si>
    <t xml:space="preserve">Third-party AI — supplier assessment</t>
  </si>
  <si>
    <t xml:space="preserve">AI Supply Chain</t>
  </si>
  <si>
    <t xml:space="preserve">A.10.1</t>
  </si>
  <si>
    <t xml:space="preserve">Stakeholder communication about AI system use</t>
  </si>
</sst>
</file>

<file path=xl/styles.xml><?xml version="1.0" encoding="utf-8"?>
<styleSheet xmlns="http://schemas.openxmlformats.org/spreadsheetml/2006/main">
  <numFmts count="1">
    <numFmt numFmtId="164" formatCode="General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6C8AFF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0"/>
      <color rgb="FFA78BFA"/>
      <name val="Arial"/>
      <family val="0"/>
      <charset val="1"/>
    </font>
    <font>
      <b val="true"/>
      <sz val="10"/>
      <color rgb="FFF472B6"/>
      <name val="Arial"/>
      <family val="0"/>
      <charset val="1"/>
    </font>
    <font>
      <b val="true"/>
      <sz val="10"/>
      <color rgb="FF2DD4BF"/>
      <name val="Arial"/>
      <family val="0"/>
      <charset val="1"/>
    </font>
    <font>
      <b val="true"/>
      <sz val="10"/>
      <color rgb="FFFBBF24"/>
      <name val="Arial"/>
      <family val="0"/>
      <charset val="1"/>
    </font>
    <font>
      <b val="true"/>
      <sz val="10"/>
      <color rgb="FFFB923C"/>
      <name val="Arial"/>
      <family val="0"/>
      <charset val="1"/>
    </font>
    <font>
      <b val="true"/>
      <sz val="10"/>
      <color rgb="FFC084F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6C8A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6C8AFF"/>
      <name val="Arial"/>
      <family val="0"/>
      <charset val="1"/>
    </font>
    <font>
      <b val="true"/>
      <sz val="13"/>
      <color rgb="FF34D399"/>
      <name val="Arial"/>
      <family val="0"/>
      <charset val="1"/>
    </font>
    <font>
      <b val="true"/>
      <sz val="12"/>
      <color rgb="FF34D399"/>
      <name val="Arial"/>
      <family val="0"/>
      <charset val="1"/>
    </font>
    <font>
      <b val="true"/>
      <sz val="13"/>
      <color rgb="FFF97316"/>
      <name val="Arial"/>
      <family val="0"/>
      <charset val="1"/>
    </font>
    <font>
      <b val="true"/>
      <sz val="12"/>
      <color rgb="FFF97316"/>
      <name val="Arial"/>
      <family val="0"/>
      <charset val="1"/>
    </font>
    <font>
      <b val="true"/>
      <sz val="13"/>
      <color rgb="FFA78BFA"/>
      <name val="Arial"/>
      <family val="0"/>
      <charset val="1"/>
    </font>
    <font>
      <b val="true"/>
      <sz val="12"/>
      <color rgb="FFA78BFA"/>
      <name val="Arial"/>
      <family val="0"/>
      <charset val="1"/>
    </font>
    <font>
      <b val="true"/>
      <sz val="13"/>
      <color rgb="FFF472B6"/>
      <name val="Arial"/>
      <family val="0"/>
      <charset val="1"/>
    </font>
    <font>
      <b val="true"/>
      <sz val="12"/>
      <color rgb="FFF472B6"/>
      <name val="Arial"/>
      <family val="0"/>
      <charset val="1"/>
    </font>
    <font>
      <b val="true"/>
      <sz val="13"/>
      <color rgb="FF2DD4BF"/>
      <name val="Arial"/>
      <family val="0"/>
      <charset val="1"/>
    </font>
    <font>
      <b val="true"/>
      <sz val="12"/>
      <color rgb="FF2DD4BF"/>
      <name val="Arial"/>
      <family val="0"/>
      <charset val="1"/>
    </font>
    <font>
      <b val="true"/>
      <sz val="13"/>
      <color rgb="FFFBBF24"/>
      <name val="Arial"/>
      <family val="0"/>
      <charset val="1"/>
    </font>
    <font>
      <b val="true"/>
      <sz val="12"/>
      <color rgb="FFFBBF24"/>
      <name val="Arial"/>
      <family val="0"/>
      <charset val="1"/>
    </font>
    <font>
      <b val="true"/>
      <sz val="13"/>
      <color rgb="FFFB923C"/>
      <name val="Arial"/>
      <family val="0"/>
      <charset val="1"/>
    </font>
    <font>
      <b val="true"/>
      <sz val="12"/>
      <color rgb="FFFB923C"/>
      <name val="Arial"/>
      <family val="0"/>
      <charset val="1"/>
    </font>
    <font>
      <b val="true"/>
      <sz val="13"/>
      <color rgb="FFC084FC"/>
      <name val="Arial"/>
      <family val="0"/>
      <charset val="1"/>
    </font>
    <font>
      <b val="true"/>
      <sz val="12"/>
      <color rgb="FFC084F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D27"/>
        <bgColor rgb="FF2E3347"/>
      </patternFill>
    </fill>
    <fill>
      <patternFill patternType="solid">
        <fgColor rgb="FFF2F2F2"/>
        <bgColor rgb="FFFFEDD5"/>
      </patternFill>
    </fill>
    <fill>
      <patternFill patternType="solid">
        <fgColor rgb="FFFFFFCC"/>
        <bgColor rgb="FFFEF3C7"/>
      </patternFill>
    </fill>
    <fill>
      <patternFill patternType="solid">
        <fgColor rgb="FF2E3347"/>
        <bgColor rgb="FF1A1D27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FEDD5"/>
        </patternFill>
      </fill>
    </dxf>
    <dxf>
      <fill>
        <patternFill>
          <bgColor rgb="FFFEE2E2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CCCCC"/>
      <rgbColor rgb="FF808080"/>
      <rgbColor rgb="FFA78BFA"/>
      <rgbColor rgb="FF993366"/>
      <rgbColor rgb="FFFFFFCC"/>
      <rgbColor rgb="FFF2F2F2"/>
      <rgbColor rgb="FF660066"/>
      <rgbColor rgb="FFF472B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34D399"/>
      <rgbColor rgb="FFFFEDD5"/>
      <rgbColor rgb="FFD1FAE5"/>
      <rgbColor rgb="FFFEF3C7"/>
      <rgbColor rgb="FF99CCFF"/>
      <rgbColor rgb="FFFF99CC"/>
      <rgbColor rgb="FFC084FC"/>
      <rgbColor rgb="FFFEE2E2"/>
      <rgbColor rgb="FF6C8AFF"/>
      <rgbColor rgb="FF2DD4BF"/>
      <rgbColor rgb="FF99CC00"/>
      <rgbColor rgb="FFFBBF24"/>
      <rgbColor rgb="FFFB923C"/>
      <rgbColor rgb="FFF97316"/>
      <rgbColor rgb="FF666666"/>
      <rgbColor rgb="FF969696"/>
      <rgbColor rgb="FF003366"/>
      <rgbColor rgb="FF339966"/>
      <rgbColor rgb="FF003300"/>
      <rgbColor rgb="FF1A1D27"/>
      <rgbColor rgb="FF92400E"/>
      <rgbColor rgb="FF993366"/>
      <rgbColor rgb="FF333399"/>
      <rgbColor rgb="FF2E33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8AFF"/>
    <pageSetUpPr fitToPage="fals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7" min="4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/>
      <c r="C3" s="3"/>
      <c r="D3" s="2" t="s">
        <v>2</v>
      </c>
      <c r="E3" s="3"/>
      <c r="F3" s="3"/>
      <c r="G3" s="3"/>
    </row>
    <row r="4" customFormat="false" ht="15" hidden="false" customHeight="false" outlineLevel="0" collapsed="false">
      <c r="A4" s="2" t="s">
        <v>3</v>
      </c>
      <c r="B4" s="3"/>
      <c r="C4" s="3"/>
      <c r="D4" s="2" t="s">
        <v>4</v>
      </c>
      <c r="E4" s="3"/>
      <c r="F4" s="3"/>
      <c r="G4" s="3"/>
    </row>
    <row r="6" customFormat="false" ht="15" hidden="false" customHeight="false" outlineLevel="0" collapsed="false">
      <c r="A6" s="4" t="s">
        <v>5</v>
      </c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</row>
    <row r="8" customFormat="false" ht="15" hidden="false" customHeight="false" outlineLevel="0" collapsed="false">
      <c r="A8" s="6" t="s">
        <v>13</v>
      </c>
      <c r="B8" s="7" t="str">
        <f aca="false">IF(COUNTA('ISO 27001'!E3:E21)-COUNTIF('ISO 27001'!E3:E21,"N/A")=0,"-",ROUND((COUNTIF('ISO 27001'!E3:E21,"Compliant")*100+COUNTIF('ISO 27001'!E3:E21,"Partial")*50)/(COUNTA('ISO 27001'!E3:E21)-COUNTIF('ISO 27001'!E3:E21,"N/A")),0)&amp;"%")</f>
        <v>-</v>
      </c>
      <c r="C8" s="8" t="str">
        <f aca="false">IF(B8="-","Not Assessed",IF(VALUE(LEFT(B8,LEN(B8)-1))&gt;=80,"Low Risk",IF(VALUE(LEFT(B8,LEN(B8)-1))&gt;=60,"Moderate Risk",IF(VALUE(LEFT(B8,LEN(B8)-1))&gt;=40,"High Risk","Critical Risk"))))</f>
        <v>Not Assessed</v>
      </c>
      <c r="D8" s="8" t="n">
        <f aca="false">COUNTIF('ISO 27001'!E3:E21,"Compliant")</f>
        <v>0</v>
      </c>
      <c r="E8" s="8" t="n">
        <f aca="false">COUNTIF('ISO 27001'!E3:E21,"Partial")</f>
        <v>0</v>
      </c>
      <c r="F8" s="8" t="n">
        <f aca="false">COUNTIF('ISO 27001'!E3:E21,"Non-Compliant")</f>
        <v>0</v>
      </c>
      <c r="G8" s="8" t="n">
        <f aca="false">COUNTIF('ISO 27001'!E3:E21,"N/A")</f>
        <v>0</v>
      </c>
    </row>
    <row r="9" customFormat="false" ht="15" hidden="false" customHeight="false" outlineLevel="0" collapsed="false">
      <c r="A9" s="9" t="s">
        <v>14</v>
      </c>
      <c r="B9" s="7" t="str">
        <f aca="false">IF(COUNTA('SOC 2'!E3:E20)-COUNTIF('SOC 2'!E3:E20,"N/A")=0,"-",ROUND((COUNTIF('SOC 2'!E3:E20,"Compliant")*100+COUNTIF('SOC 2'!E3:E20,"Partial")*50)/(COUNTA('SOC 2'!E3:E20)-COUNTIF('SOC 2'!E3:E20,"N/A")),0)&amp;"%")</f>
        <v>-</v>
      </c>
      <c r="C9" s="8" t="str">
        <f aca="false">IF(B9="-","Not Assessed",IF(VALUE(LEFT(B9,LEN(B9)-1))&gt;=80,"Low Risk",IF(VALUE(LEFT(B9,LEN(B9)-1))&gt;=60,"Moderate Risk",IF(VALUE(LEFT(B9,LEN(B9)-1))&gt;=40,"High Risk","Critical Risk"))))</f>
        <v>Not Assessed</v>
      </c>
      <c r="D9" s="8" t="n">
        <f aca="false">COUNTIF('SOC 2'!E3:E20,"Compliant")</f>
        <v>0</v>
      </c>
      <c r="E9" s="8" t="n">
        <f aca="false">COUNTIF('SOC 2'!E3:E20,"Partial")</f>
        <v>0</v>
      </c>
      <c r="F9" s="8" t="n">
        <f aca="false">COUNTIF('SOC 2'!E3:E20,"Non-Compliant")</f>
        <v>0</v>
      </c>
      <c r="G9" s="8" t="n">
        <f aca="false">COUNTIF('SOC 2'!E3:E20,"N/A")</f>
        <v>0</v>
      </c>
    </row>
    <row r="10" customFormat="false" ht="15" hidden="false" customHeight="false" outlineLevel="0" collapsed="false">
      <c r="A10" s="10" t="s">
        <v>15</v>
      </c>
      <c r="B10" s="7" t="str">
        <f aca="false">IF(COUNTA(FedRAMP!E3:E18)-COUNTIF(FedRAMP!E3:E18,"N/A")=0,"-",ROUND((COUNTIF(FedRAMP!E3:E18,"Compliant")*100+COUNTIF(FedRAMP!E3:E18,"Partial")*50)/(COUNTA(FedRAMP!E3:E18)-COUNTIF(FedRAMP!E3:E18,"N/A")),0)&amp;"%")</f>
        <v>-</v>
      </c>
      <c r="C10" s="8" t="str">
        <f aca="false">IF(B10="-","Not Assessed",IF(VALUE(LEFT(B10,LEN(B10)-1))&gt;=80,"Low Risk",IF(VALUE(LEFT(B10,LEN(B10)-1))&gt;=60,"Moderate Risk",IF(VALUE(LEFT(B10,LEN(B10)-1))&gt;=40,"High Risk","Critical Risk"))))</f>
        <v>Not Assessed</v>
      </c>
      <c r="D10" s="8" t="n">
        <f aca="false">COUNTIF(FedRAMP!E3:E18,"Compliant")</f>
        <v>0</v>
      </c>
      <c r="E10" s="8" t="n">
        <f aca="false">COUNTIF(FedRAMP!E3:E18,"Partial")</f>
        <v>0</v>
      </c>
      <c r="F10" s="8" t="n">
        <f aca="false">COUNTIF(FedRAMP!E3:E18,"Non-Compliant")</f>
        <v>0</v>
      </c>
      <c r="G10" s="8" t="n">
        <f aca="false">COUNTIF(FedRAMP!E3:E18,"N/A")</f>
        <v>0</v>
      </c>
    </row>
    <row r="11" customFormat="false" ht="15" hidden="false" customHeight="false" outlineLevel="0" collapsed="false">
      <c r="A11" s="11" t="s">
        <v>16</v>
      </c>
      <c r="B11" s="7" t="str">
        <f aca="false">IF(COUNTA(GDPR!E3:E16)-COUNTIF(GDPR!E3:E16,"N/A")=0,"-",ROUND((COUNTIF(GDPR!E3:E16,"Compliant")*100+COUNTIF(GDPR!E3:E16,"Partial")*50)/(COUNTA(GDPR!E3:E16)-COUNTIF(GDPR!E3:E16,"N/A")),0)&amp;"%")</f>
        <v>-</v>
      </c>
      <c r="C11" s="8" t="str">
        <f aca="false">IF(B11="-","Not Assessed",IF(VALUE(LEFT(B11,LEN(B11)-1))&gt;=80,"Low Risk",IF(VALUE(LEFT(B11,LEN(B11)-1))&gt;=60,"Moderate Risk",IF(VALUE(LEFT(B11,LEN(B11)-1))&gt;=40,"High Risk","Critical Risk"))))</f>
        <v>Not Assessed</v>
      </c>
      <c r="D11" s="8" t="n">
        <f aca="false">COUNTIF(GDPR!E3:E16,"Compliant")</f>
        <v>0</v>
      </c>
      <c r="E11" s="8" t="n">
        <f aca="false">COUNTIF(GDPR!E3:E16,"Partial")</f>
        <v>0</v>
      </c>
      <c r="F11" s="8" t="n">
        <f aca="false">COUNTIF(GDPR!E3:E16,"Non-Compliant")</f>
        <v>0</v>
      </c>
      <c r="G11" s="8" t="n">
        <f aca="false">COUNTIF(GDPR!E3:E16,"N/A")</f>
        <v>0</v>
      </c>
    </row>
    <row r="12" customFormat="false" ht="15" hidden="false" customHeight="false" outlineLevel="0" collapsed="false">
      <c r="A12" s="12" t="s">
        <v>17</v>
      </c>
      <c r="B12" s="7" t="str">
        <f aca="false">IF(COUNTA(HIPAA!E3:E18)-COUNTIF(HIPAA!E3:E18,"N/A")=0,"-",ROUND((COUNTIF(HIPAA!E3:E18,"Compliant")*100+COUNTIF(HIPAA!E3:E18,"Partial")*50)/(COUNTA(HIPAA!E3:E18)-COUNTIF(HIPAA!E3:E18,"N/A")),0)&amp;"%")</f>
        <v>-</v>
      </c>
      <c r="C12" s="8" t="str">
        <f aca="false">IF(B12="-","Not Assessed",IF(VALUE(LEFT(B12,LEN(B12)-1))&gt;=80,"Low Risk",IF(VALUE(LEFT(B12,LEN(B12)-1))&gt;=60,"Moderate Risk",IF(VALUE(LEFT(B12,LEN(B12)-1))&gt;=40,"High Risk","Critical Risk"))))</f>
        <v>Not Assessed</v>
      </c>
      <c r="D12" s="8" t="n">
        <f aca="false">COUNTIF(HIPAA!E3:E18,"Compliant")</f>
        <v>0</v>
      </c>
      <c r="E12" s="8" t="n">
        <f aca="false">COUNTIF(HIPAA!E3:E18,"Partial")</f>
        <v>0</v>
      </c>
      <c r="F12" s="8" t="n">
        <f aca="false">COUNTIF(HIPAA!E3:E18,"Non-Compliant")</f>
        <v>0</v>
      </c>
      <c r="G12" s="8" t="n">
        <f aca="false">COUNTIF(HIPAA!E3:E18,"N/A")</f>
        <v>0</v>
      </c>
    </row>
    <row r="13" customFormat="false" ht="15" hidden="false" customHeight="false" outlineLevel="0" collapsed="false">
      <c r="A13" s="13" t="s">
        <v>18</v>
      </c>
      <c r="B13" s="7" t="str">
        <f aca="false">IF(COUNTA('NIST CSF'!E3:E18)-COUNTIF('NIST CSF'!E3:E18,"N/A")=0,"-",ROUND((COUNTIF('NIST CSF'!E3:E18,"Compliant")*100+COUNTIF('NIST CSF'!E3:E18,"Partial")*50)/(COUNTA('NIST CSF'!E3:E18)-COUNTIF('NIST CSF'!E3:E18,"N/A")),0)&amp;"%")</f>
        <v>-</v>
      </c>
      <c r="C13" s="8" t="str">
        <f aca="false">IF(B13="-","Not Assessed",IF(VALUE(LEFT(B13,LEN(B13)-1))&gt;=80,"Low Risk",IF(VALUE(LEFT(B13,LEN(B13)-1))&gt;=60,"Moderate Risk",IF(VALUE(LEFT(B13,LEN(B13)-1))&gt;=40,"High Risk","Critical Risk"))))</f>
        <v>Not Assessed</v>
      </c>
      <c r="D13" s="8" t="n">
        <f aca="false">COUNTIF('NIST CSF'!E3:E18,"Compliant")</f>
        <v>0</v>
      </c>
      <c r="E13" s="8" t="n">
        <f aca="false">COUNTIF('NIST CSF'!E3:E18,"Partial")</f>
        <v>0</v>
      </c>
      <c r="F13" s="8" t="n">
        <f aca="false">COUNTIF('NIST CSF'!E3:E18,"Non-Compliant")</f>
        <v>0</v>
      </c>
      <c r="G13" s="8" t="n">
        <f aca="false">COUNTIF('NIST CSF'!E3:E18,"N/A")</f>
        <v>0</v>
      </c>
    </row>
    <row r="14" customFormat="false" ht="15" hidden="false" customHeight="false" outlineLevel="0" collapsed="false">
      <c r="A14" s="14" t="s">
        <v>19</v>
      </c>
      <c r="B14" s="7" t="str">
        <f aca="false">IF(COUNTA('PCI DSS'!E3:E14)-COUNTIF('PCI DSS'!E3:E14,"N/A")=0,"-",ROUND((COUNTIF('PCI DSS'!E3:E14,"Compliant")*100+COUNTIF('PCI DSS'!E3:E14,"Partial")*50)/(COUNTA('PCI DSS'!E3:E14)-COUNTIF('PCI DSS'!E3:E14,"N/A")),0)&amp;"%")</f>
        <v>-</v>
      </c>
      <c r="C14" s="8" t="str">
        <f aca="false">IF(B14="-","Not Assessed",IF(VALUE(LEFT(B14,LEN(B14)-1))&gt;=80,"Low Risk",IF(VALUE(LEFT(B14,LEN(B14)-1))&gt;=60,"Moderate Risk",IF(VALUE(LEFT(B14,LEN(B14)-1))&gt;=40,"High Risk","Critical Risk"))))</f>
        <v>Not Assessed</v>
      </c>
      <c r="D14" s="8" t="n">
        <f aca="false">COUNTIF('PCI DSS'!E3:E14,"Compliant")</f>
        <v>0</v>
      </c>
      <c r="E14" s="8" t="n">
        <f aca="false">COUNTIF('PCI DSS'!E3:E14,"Partial")</f>
        <v>0</v>
      </c>
      <c r="F14" s="8" t="n">
        <f aca="false">COUNTIF('PCI DSS'!E3:E14,"Non-Compliant")</f>
        <v>0</v>
      </c>
      <c r="G14" s="8" t="n">
        <f aca="false">COUNTIF('PCI DSS'!E3:E14,"N/A")</f>
        <v>0</v>
      </c>
    </row>
    <row r="15" customFormat="false" ht="15" hidden="false" customHeight="false" outlineLevel="0" collapsed="false">
      <c r="A15" s="15" t="s">
        <v>20</v>
      </c>
      <c r="B15" s="7" t="str">
        <f aca="false">IF(COUNTA('TSA Cyber'!E3:E12)-COUNTIF('TSA Cyber'!E3:E12,"N/A")=0,"-",ROUND((COUNTIF('TSA Cyber'!E3:E12,"Compliant")*100+COUNTIF('TSA Cyber'!E3:E12,"Partial")*50)/(COUNTA('TSA Cyber'!E3:E12)-COUNTIF('TSA Cyber'!E3:E12,"N/A")),0)&amp;"%")</f>
        <v>-</v>
      </c>
      <c r="C15" s="8" t="str">
        <f aca="false">IF(B15="-","Not Assessed",IF(VALUE(LEFT(B15,LEN(B15)-1))&gt;=80,"Low Risk",IF(VALUE(LEFT(B15,LEN(B15)-1))&gt;=60,"Moderate Risk",IF(VALUE(LEFT(B15,LEN(B15)-1))&gt;=40,"High Risk","Critical Risk"))))</f>
        <v>Not Assessed</v>
      </c>
      <c r="D15" s="8" t="n">
        <f aca="false">COUNTIF('TSA Cyber'!E3:E12,"Compliant")</f>
        <v>0</v>
      </c>
      <c r="E15" s="8" t="n">
        <f aca="false">COUNTIF('TSA Cyber'!E3:E12,"Partial")</f>
        <v>0</v>
      </c>
      <c r="F15" s="8" t="n">
        <f aca="false">COUNTIF('TSA Cyber'!E3:E12,"Non-Compliant")</f>
        <v>0</v>
      </c>
      <c r="G15" s="8" t="n">
        <f aca="false">COUNTIF('TSA Cyber'!E3:E12,"N/A")</f>
        <v>0</v>
      </c>
    </row>
    <row r="16" customFormat="false" ht="15" hidden="false" customHeight="false" outlineLevel="0" collapsed="false">
      <c r="A16" s="16" t="s">
        <v>21</v>
      </c>
      <c r="B16" s="7" t="str">
        <f aca="false">IF(COUNTA('ISO 42001'!E3:E17)-COUNTIF('ISO 42001'!E3:E17,"N/A")=0,"-",ROUND((COUNTIF('ISO 42001'!E3:E17,"Compliant")*100+COUNTIF('ISO 42001'!E3:E17,"Partial")*50)/(COUNTA('ISO 42001'!E3:E17)-COUNTIF('ISO 42001'!E3:E17,"N/A")),0)&amp;"%")</f>
        <v>-</v>
      </c>
      <c r="C16" s="8" t="str">
        <f aca="false">IF(B16="-","Not Assessed",IF(VALUE(LEFT(B16,LEN(B16)-1))&gt;=80,"Low Risk",IF(VALUE(LEFT(B16,LEN(B16)-1))&gt;=60,"Moderate Risk",IF(VALUE(LEFT(B16,LEN(B16)-1))&gt;=40,"High Risk","Critical Risk"))))</f>
        <v>Not Assessed</v>
      </c>
      <c r="D16" s="8" t="n">
        <f aca="false">COUNTIF('ISO 42001'!E3:E17,"Compliant")</f>
        <v>0</v>
      </c>
      <c r="E16" s="8" t="n">
        <f aca="false">COUNTIF('ISO 42001'!E3:E17,"Partial")</f>
        <v>0</v>
      </c>
      <c r="F16" s="8" t="n">
        <f aca="false">COUNTIF('ISO 42001'!E3:E17,"Non-Compliant")</f>
        <v>0</v>
      </c>
      <c r="G16" s="8" t="n">
        <f aca="false">COUNTIF('ISO 42001'!E3:E17,"N/A")</f>
        <v>0</v>
      </c>
    </row>
    <row r="18" customFormat="false" ht="15" hidden="false" customHeight="false" outlineLevel="0" collapsed="false">
      <c r="A18" s="17" t="s">
        <v>22</v>
      </c>
      <c r="B18" s="17"/>
      <c r="C18" s="17"/>
      <c r="D18" s="18" t="str">
        <f aca="false">IF((COUNTA('ISO 27001'!E3:E21)-COUNTIF('ISO 27001'!E3:E21,"N/A")+COUNTA('SOC 2'!E3:E20)-COUNTIF('SOC 2'!E3:E20,"N/A")+COUNTA(FedRAMP!E3:E18)-COUNTIF(FedRAMP!E3:E18,"N/A")+COUNTA(GDPR!E3:E16)-COUNTIF(GDPR!E3:E16,"N/A")+COUNTA(HIPAA!E3:E18)-COUNTIF(HIPAA!E3:E18,"N/A")+COUNTA('NIST CSF'!E3:E18)-COUNTIF('NIST CSF'!E3:E18,"N/A")+COUNTA('PCI DSS'!E3:E14)-COUNTIF('PCI DSS'!E3:E14,"N/A")+COUNTA('TSA Cyber'!E3:E12)-COUNTIF('TSA Cyber'!E3:E12,"N/A")+COUNTA('ISO 42001'!E3:E17)-COUNTIF('ISO 42001'!E3:E17,"N/A"))=0,"-",ROUND((D8+D9+D10+D11+D12+D13+D14+D15+D16*100+E8+E9+E10+E11+E12+E13+E14+E15+E16*50)/(COUNTA('ISO 27001'!E3:E21)-COUNTIF('ISO 27001'!E3:E21,"N/A")+COUNTA('SOC 2'!E3:E20)-COUNTIF('SOC 2'!E3:E20,"N/A")+COUNTA(FedRAMP!E3:E18)-COUNTIF(FedRAMP!E3:E18,"N/A")+COUNTA(GDPR!E3:E16)-COUNTIF(GDPR!E3:E16,"N/A")+COUNTA(HIPAA!E3:E18)-COUNTIF(HIPAA!E3:E18,"N/A")+COUNTA('NIST CSF'!E3:E18)-COUNTIF('NIST CSF'!E3:E18,"N/A")+COUNTA('PCI DSS'!E3:E14)-COUNTIF('PCI DSS'!E3:E14,"N/A")+COUNTA('TSA Cyber'!E3:E12)-COUNTIF('TSA Cyber'!E3:E12,"N/A")+COUNTA('ISO 42001'!E3:E17)-COUNTIF('ISO 42001'!E3:E17,"N/A")),0)&amp;"%")</f>
        <v>-</v>
      </c>
      <c r="E18" s="19"/>
      <c r="F18" s="19"/>
      <c r="G18" s="19"/>
    </row>
  </sheetData>
  <mergeCells count="7">
    <mergeCell ref="A1:G1"/>
    <mergeCell ref="B3:C3"/>
    <mergeCell ref="E3:G3"/>
    <mergeCell ref="B4:C4"/>
    <mergeCell ref="E4:G4"/>
    <mergeCell ref="A6:G6"/>
    <mergeCell ref="A18:C18"/>
  </mergeCells>
  <conditionalFormatting sqref="C8:C16">
    <cfRule type="cellIs" priority="2" operator="equal" aboveAverage="0" equalAverage="0" bottom="0" percent="0" rank="0" text="" dxfId="0">
      <formula>"Low Risk"</formula>
    </cfRule>
    <cfRule type="cellIs" priority="3" operator="equal" aboveAverage="0" equalAverage="0" bottom="0" percent="0" rank="0" text="" dxfId="1">
      <formula>"Moderate Risk"</formula>
    </cfRule>
    <cfRule type="cellIs" priority="4" operator="equal" aboveAverage="0" equalAverage="0" bottom="0" percent="0" rank="0" text="" dxfId="2">
      <formula>"High Risk"</formula>
    </cfRule>
    <cfRule type="cellIs" priority="5" operator="equal" aboveAverage="0" equalAverage="0" bottom="0" percent="0" rank="0" text="" dxfId="3">
      <formula>"Critical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8AFF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20" t="s">
        <v>23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22" t="s">
        <v>31</v>
      </c>
      <c r="B3" s="23" t="s">
        <v>32</v>
      </c>
      <c r="C3" s="24" t="s">
        <v>33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28" t="s">
        <v>34</v>
      </c>
      <c r="B4" s="29" t="s">
        <v>35</v>
      </c>
      <c r="C4" s="30" t="s">
        <v>33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22" t="s">
        <v>36</v>
      </c>
      <c r="B5" s="23" t="s">
        <v>37</v>
      </c>
      <c r="C5" s="24" t="s">
        <v>33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28" t="s">
        <v>38</v>
      </c>
      <c r="B6" s="29" t="s">
        <v>39</v>
      </c>
      <c r="C6" s="30" t="s">
        <v>33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22" t="s">
        <v>40</v>
      </c>
      <c r="B7" s="23" t="s">
        <v>41</v>
      </c>
      <c r="C7" s="24" t="s">
        <v>33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28" t="s">
        <v>42</v>
      </c>
      <c r="B8" s="29" t="s">
        <v>43</v>
      </c>
      <c r="C8" s="30" t="s">
        <v>33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22" t="s">
        <v>44</v>
      </c>
      <c r="B9" s="23" t="s">
        <v>45</v>
      </c>
      <c r="C9" s="24" t="s">
        <v>33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28" t="s">
        <v>46</v>
      </c>
      <c r="B10" s="29" t="s">
        <v>47</v>
      </c>
      <c r="C10" s="30" t="s">
        <v>33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22" t="s">
        <v>48</v>
      </c>
      <c r="B11" s="23" t="s">
        <v>49</v>
      </c>
      <c r="C11" s="24" t="s">
        <v>33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28" t="s">
        <v>50</v>
      </c>
      <c r="B12" s="29" t="s">
        <v>51</v>
      </c>
      <c r="C12" s="30" t="s">
        <v>52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22" t="s">
        <v>53</v>
      </c>
      <c r="B13" s="23" t="s">
        <v>54</v>
      </c>
      <c r="C13" s="24" t="s">
        <v>52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28" t="s">
        <v>55</v>
      </c>
      <c r="B14" s="29" t="s">
        <v>56</v>
      </c>
      <c r="C14" s="30" t="s">
        <v>57</v>
      </c>
      <c r="D14" s="31" t="n">
        <v>1</v>
      </c>
      <c r="E14" s="26"/>
      <c r="F14" s="27"/>
      <c r="G14" s="27"/>
    </row>
    <row r="15" customFormat="false" ht="15" hidden="false" customHeight="false" outlineLevel="0" collapsed="false">
      <c r="A15" s="22" t="s">
        <v>58</v>
      </c>
      <c r="B15" s="23" t="s">
        <v>59</v>
      </c>
      <c r="C15" s="24" t="s">
        <v>60</v>
      </c>
      <c r="D15" s="25" t="n">
        <v>1</v>
      </c>
      <c r="E15" s="26"/>
      <c r="F15" s="27"/>
      <c r="G15" s="27"/>
    </row>
    <row r="16" customFormat="false" ht="15" hidden="false" customHeight="false" outlineLevel="0" collapsed="false">
      <c r="A16" s="28" t="s">
        <v>61</v>
      </c>
      <c r="B16" s="29" t="s">
        <v>62</v>
      </c>
      <c r="C16" s="30" t="s">
        <v>60</v>
      </c>
      <c r="D16" s="31" t="n">
        <v>1</v>
      </c>
      <c r="E16" s="26"/>
      <c r="F16" s="27"/>
      <c r="G16" s="27"/>
    </row>
    <row r="17" customFormat="false" ht="15" hidden="false" customHeight="false" outlineLevel="0" collapsed="false">
      <c r="A17" s="22" t="s">
        <v>63</v>
      </c>
      <c r="B17" s="23" t="s">
        <v>64</v>
      </c>
      <c r="C17" s="24" t="s">
        <v>60</v>
      </c>
      <c r="D17" s="25" t="n">
        <v>1</v>
      </c>
      <c r="E17" s="26"/>
      <c r="F17" s="27"/>
      <c r="G17" s="27"/>
    </row>
    <row r="18" customFormat="false" ht="15" hidden="false" customHeight="false" outlineLevel="0" collapsed="false">
      <c r="A18" s="28" t="s">
        <v>65</v>
      </c>
      <c r="B18" s="29" t="s">
        <v>66</v>
      </c>
      <c r="C18" s="30" t="s">
        <v>60</v>
      </c>
      <c r="D18" s="31" t="n">
        <v>1</v>
      </c>
      <c r="E18" s="26"/>
      <c r="F18" s="27"/>
      <c r="G18" s="27"/>
    </row>
    <row r="19" customFormat="false" ht="15" hidden="false" customHeight="false" outlineLevel="0" collapsed="false">
      <c r="A19" s="22" t="s">
        <v>67</v>
      </c>
      <c r="B19" s="23" t="s">
        <v>68</v>
      </c>
      <c r="C19" s="24" t="s">
        <v>60</v>
      </c>
      <c r="D19" s="25" t="n">
        <v>1</v>
      </c>
      <c r="E19" s="26"/>
      <c r="F19" s="27"/>
      <c r="G19" s="27"/>
    </row>
    <row r="20" customFormat="false" ht="15" hidden="false" customHeight="false" outlineLevel="0" collapsed="false">
      <c r="A20" s="28" t="s">
        <v>69</v>
      </c>
      <c r="B20" s="29" t="s">
        <v>70</v>
      </c>
      <c r="C20" s="30" t="s">
        <v>60</v>
      </c>
      <c r="D20" s="31" t="n">
        <v>1</v>
      </c>
      <c r="E20" s="26"/>
      <c r="F20" s="27"/>
      <c r="G20" s="27"/>
    </row>
    <row r="21" customFormat="false" ht="15" hidden="false" customHeight="false" outlineLevel="0" collapsed="false">
      <c r="A21" s="22" t="s">
        <v>71</v>
      </c>
      <c r="B21" s="23" t="s">
        <v>72</v>
      </c>
      <c r="C21" s="24" t="s">
        <v>60</v>
      </c>
      <c r="D21" s="25" t="n">
        <v>1</v>
      </c>
      <c r="E21" s="26"/>
      <c r="F21" s="27"/>
      <c r="G21" s="27"/>
    </row>
    <row r="23" customFormat="false" ht="15" hidden="false" customHeight="false" outlineLevel="0" collapsed="false">
      <c r="A23" s="32" t="s">
        <v>73</v>
      </c>
      <c r="B23" s="19"/>
      <c r="C23" s="19"/>
      <c r="D23" s="19"/>
      <c r="E23" s="19"/>
      <c r="F23" s="19"/>
      <c r="G23" s="19"/>
    </row>
    <row r="24" customFormat="false" ht="15" hidden="false" customHeight="false" outlineLevel="0" collapsed="false">
      <c r="A24" s="33" t="s">
        <v>9</v>
      </c>
      <c r="B24" s="34" t="n">
        <f aca="false">COUNTIF(E3:E21,"Compliant")</f>
        <v>0</v>
      </c>
    </row>
    <row r="25" customFormat="false" ht="15" hidden="false" customHeight="false" outlineLevel="0" collapsed="false">
      <c r="A25" s="33" t="s">
        <v>10</v>
      </c>
      <c r="B25" s="34" t="n">
        <f aca="false">COUNTIF(E3:E21,"Partial")</f>
        <v>0</v>
      </c>
    </row>
    <row r="26" customFormat="false" ht="15" hidden="false" customHeight="false" outlineLevel="0" collapsed="false">
      <c r="A26" s="33" t="s">
        <v>11</v>
      </c>
      <c r="B26" s="34" t="n">
        <f aca="false">COUNTIF(E3:E21,"Non-Compliant")</f>
        <v>0</v>
      </c>
    </row>
    <row r="27" customFormat="false" ht="15" hidden="false" customHeight="false" outlineLevel="0" collapsed="false">
      <c r="A27" s="33" t="s">
        <v>12</v>
      </c>
      <c r="B27" s="34" t="n">
        <f aca="false">COUNTIF(E3:E21,"N/A")</f>
        <v>0</v>
      </c>
    </row>
    <row r="28" customFormat="false" ht="15" hidden="false" customHeight="false" outlineLevel="0" collapsed="false">
      <c r="A28" s="33" t="s">
        <v>7</v>
      </c>
      <c r="B28" s="35" t="str">
        <f aca="false">IF(COUNTA(E3:E21)-COUNTIF(E3:E21,"N/A")=0,"-",ROUND((COUNTIF(E3:E21,"Compliant")*100+COUNTIF(E3:E21,"Partial")*50)/(COUNTA(E3:E21)-COUNTIF(E3:E21,"N/A")),0)&amp;"%")</f>
        <v>-</v>
      </c>
    </row>
  </sheetData>
  <mergeCells count="1">
    <mergeCell ref="A1:G1"/>
  </mergeCells>
  <conditionalFormatting sqref="E3:E21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21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D399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36" t="s">
        <v>74</v>
      </c>
      <c r="B1" s="36"/>
      <c r="C1" s="36"/>
      <c r="D1" s="36"/>
      <c r="E1" s="36"/>
      <c r="F1" s="36"/>
      <c r="G1" s="36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37" t="s">
        <v>75</v>
      </c>
      <c r="B3" s="23" t="s">
        <v>76</v>
      </c>
      <c r="C3" s="24" t="s">
        <v>77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38" t="s">
        <v>78</v>
      </c>
      <c r="B4" s="29" t="s">
        <v>79</v>
      </c>
      <c r="C4" s="30" t="s">
        <v>77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37" t="s">
        <v>80</v>
      </c>
      <c r="B5" s="23" t="s">
        <v>81</v>
      </c>
      <c r="C5" s="24" t="s">
        <v>82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38" t="s">
        <v>83</v>
      </c>
      <c r="B6" s="29" t="s">
        <v>84</v>
      </c>
      <c r="C6" s="30" t="s">
        <v>85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37" t="s">
        <v>86</v>
      </c>
      <c r="B7" s="23" t="s">
        <v>87</v>
      </c>
      <c r="C7" s="24" t="s">
        <v>85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38" t="s">
        <v>88</v>
      </c>
      <c r="B8" s="29" t="s">
        <v>89</v>
      </c>
      <c r="C8" s="30" t="s">
        <v>90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37" t="s">
        <v>91</v>
      </c>
      <c r="B9" s="23" t="s">
        <v>92</v>
      </c>
      <c r="C9" s="24" t="s">
        <v>93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38" t="s">
        <v>94</v>
      </c>
      <c r="B10" s="29" t="s">
        <v>95</v>
      </c>
      <c r="C10" s="30" t="s">
        <v>93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37" t="s">
        <v>96</v>
      </c>
      <c r="B11" s="23" t="s">
        <v>97</v>
      </c>
      <c r="C11" s="24" t="s">
        <v>93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38" t="s">
        <v>98</v>
      </c>
      <c r="B12" s="29" t="s">
        <v>99</v>
      </c>
      <c r="C12" s="30" t="s">
        <v>93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37" t="s">
        <v>100</v>
      </c>
      <c r="B13" s="23" t="s">
        <v>101</v>
      </c>
      <c r="C13" s="24" t="s">
        <v>102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38" t="s">
        <v>103</v>
      </c>
      <c r="B14" s="29" t="s">
        <v>104</v>
      </c>
      <c r="C14" s="30" t="s">
        <v>102</v>
      </c>
      <c r="D14" s="31" t="n">
        <v>1</v>
      </c>
      <c r="E14" s="26"/>
      <c r="F14" s="27"/>
      <c r="G14" s="27"/>
    </row>
    <row r="15" customFormat="false" ht="15" hidden="false" customHeight="false" outlineLevel="0" collapsed="false">
      <c r="A15" s="37" t="s">
        <v>105</v>
      </c>
      <c r="B15" s="23" t="s">
        <v>106</v>
      </c>
      <c r="C15" s="24" t="s">
        <v>102</v>
      </c>
      <c r="D15" s="25" t="n">
        <v>1</v>
      </c>
      <c r="E15" s="26"/>
      <c r="F15" s="27"/>
      <c r="G15" s="27"/>
    </row>
    <row r="16" customFormat="false" ht="15" hidden="false" customHeight="false" outlineLevel="0" collapsed="false">
      <c r="A16" s="38" t="s">
        <v>107</v>
      </c>
      <c r="B16" s="29" t="s">
        <v>108</v>
      </c>
      <c r="C16" s="30" t="s">
        <v>109</v>
      </c>
      <c r="D16" s="31" t="n">
        <v>1</v>
      </c>
      <c r="E16" s="26"/>
      <c r="F16" s="27"/>
      <c r="G16" s="27"/>
    </row>
    <row r="17" customFormat="false" ht="15" hidden="false" customHeight="false" outlineLevel="0" collapsed="false">
      <c r="A17" s="37" t="s">
        <v>110</v>
      </c>
      <c r="B17" s="23" t="s">
        <v>111</v>
      </c>
      <c r="C17" s="24" t="s">
        <v>112</v>
      </c>
      <c r="D17" s="25" t="n">
        <v>1</v>
      </c>
      <c r="E17" s="26"/>
      <c r="F17" s="27"/>
      <c r="G17" s="27"/>
    </row>
    <row r="18" customFormat="false" ht="15" hidden="false" customHeight="false" outlineLevel="0" collapsed="false">
      <c r="A18" s="38" t="s">
        <v>113</v>
      </c>
      <c r="B18" s="29" t="s">
        <v>114</v>
      </c>
      <c r="C18" s="30" t="s">
        <v>115</v>
      </c>
      <c r="D18" s="31" t="n">
        <v>1</v>
      </c>
      <c r="E18" s="26"/>
      <c r="F18" s="27"/>
      <c r="G18" s="27"/>
    </row>
    <row r="19" customFormat="false" ht="15" hidden="false" customHeight="false" outlineLevel="0" collapsed="false">
      <c r="A19" s="37" t="s">
        <v>116</v>
      </c>
      <c r="B19" s="23" t="s">
        <v>117</v>
      </c>
      <c r="C19" s="24" t="s">
        <v>118</v>
      </c>
      <c r="D19" s="25" t="n">
        <v>1</v>
      </c>
      <c r="E19" s="26"/>
      <c r="F19" s="27"/>
      <c r="G19" s="27"/>
    </row>
    <row r="20" customFormat="false" ht="15" hidden="false" customHeight="false" outlineLevel="0" collapsed="false">
      <c r="A20" s="38" t="s">
        <v>119</v>
      </c>
      <c r="B20" s="29" t="s">
        <v>120</v>
      </c>
      <c r="C20" s="30" t="s">
        <v>121</v>
      </c>
      <c r="D20" s="31" t="n">
        <v>1</v>
      </c>
      <c r="E20" s="26"/>
      <c r="F20" s="27"/>
      <c r="G20" s="27"/>
    </row>
    <row r="22" customFormat="false" ht="15" hidden="false" customHeight="false" outlineLevel="0" collapsed="false">
      <c r="A22" s="32" t="s">
        <v>73</v>
      </c>
      <c r="B22" s="19"/>
      <c r="C22" s="19"/>
      <c r="D22" s="19"/>
      <c r="E22" s="19"/>
      <c r="F22" s="19"/>
      <c r="G22" s="19"/>
    </row>
    <row r="23" customFormat="false" ht="15" hidden="false" customHeight="false" outlineLevel="0" collapsed="false">
      <c r="A23" s="33" t="s">
        <v>9</v>
      </c>
      <c r="B23" s="34" t="n">
        <f aca="false">COUNTIF(E3:E20,"Compliant")</f>
        <v>0</v>
      </c>
    </row>
    <row r="24" customFormat="false" ht="15" hidden="false" customHeight="false" outlineLevel="0" collapsed="false">
      <c r="A24" s="33" t="s">
        <v>10</v>
      </c>
      <c r="B24" s="34" t="n">
        <f aca="false">COUNTIF(E3:E20,"Partial")</f>
        <v>0</v>
      </c>
    </row>
    <row r="25" customFormat="false" ht="15" hidden="false" customHeight="false" outlineLevel="0" collapsed="false">
      <c r="A25" s="33" t="s">
        <v>11</v>
      </c>
      <c r="B25" s="34" t="n">
        <f aca="false">COUNTIF(E3:E20,"Non-Compliant")</f>
        <v>0</v>
      </c>
    </row>
    <row r="26" customFormat="false" ht="15" hidden="false" customHeight="false" outlineLevel="0" collapsed="false">
      <c r="A26" s="33" t="s">
        <v>12</v>
      </c>
      <c r="B26" s="34" t="n">
        <f aca="false">COUNTIF(E3:E20,"N/A")</f>
        <v>0</v>
      </c>
    </row>
    <row r="27" customFormat="false" ht="15" hidden="false" customHeight="false" outlineLevel="0" collapsed="false">
      <c r="A27" s="33" t="s">
        <v>7</v>
      </c>
      <c r="B27" s="39" t="str">
        <f aca="false">IF(COUNTA(E3:E20)-COUNTIF(E3:E20,"N/A")=0,"-",ROUND((COUNTIF(E3:E20,"Compliant")*100+COUNTIF(E3:E20,"Partial")*50)/(COUNTA(E3:E20)-COUNTIF(E3:E20,"N/A")),0)&amp;"%")</f>
        <v>-</v>
      </c>
    </row>
  </sheetData>
  <mergeCells count="1">
    <mergeCell ref="A1:G1"/>
  </mergeCells>
  <conditionalFormatting sqref="E3:E20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20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40" t="s">
        <v>122</v>
      </c>
      <c r="B1" s="40"/>
      <c r="C1" s="40"/>
      <c r="D1" s="40"/>
      <c r="E1" s="40"/>
      <c r="F1" s="40"/>
      <c r="G1" s="40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41" t="s">
        <v>123</v>
      </c>
      <c r="B3" s="23" t="s">
        <v>124</v>
      </c>
      <c r="C3" s="24" t="s">
        <v>125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42" t="s">
        <v>126</v>
      </c>
      <c r="B4" s="29" t="s">
        <v>127</v>
      </c>
      <c r="C4" s="30" t="s">
        <v>128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41" t="s">
        <v>129</v>
      </c>
      <c r="B5" s="23" t="s">
        <v>130</v>
      </c>
      <c r="C5" s="24" t="s">
        <v>131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42" t="s">
        <v>132</v>
      </c>
      <c r="B6" s="29" t="s">
        <v>133</v>
      </c>
      <c r="C6" s="30" t="s">
        <v>134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41" t="s">
        <v>135</v>
      </c>
      <c r="B7" s="23" t="s">
        <v>136</v>
      </c>
      <c r="C7" s="24" t="s">
        <v>137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42" t="s">
        <v>138</v>
      </c>
      <c r="B8" s="29" t="s">
        <v>139</v>
      </c>
      <c r="C8" s="30" t="s">
        <v>140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41" t="s">
        <v>141</v>
      </c>
      <c r="B9" s="23" t="s">
        <v>142</v>
      </c>
      <c r="C9" s="24" t="s">
        <v>143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42" t="s">
        <v>144</v>
      </c>
      <c r="B10" s="29" t="s">
        <v>145</v>
      </c>
      <c r="C10" s="30" t="s">
        <v>146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41" t="s">
        <v>147</v>
      </c>
      <c r="B11" s="23" t="s">
        <v>148</v>
      </c>
      <c r="C11" s="24" t="s">
        <v>57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42" t="s">
        <v>149</v>
      </c>
      <c r="B12" s="29" t="s">
        <v>150</v>
      </c>
      <c r="C12" s="30" t="s">
        <v>151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41" t="s">
        <v>152</v>
      </c>
      <c r="B13" s="23" t="s">
        <v>153</v>
      </c>
      <c r="C13" s="24" t="s">
        <v>154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42" t="s">
        <v>155</v>
      </c>
      <c r="B14" s="29" t="s">
        <v>156</v>
      </c>
      <c r="C14" s="30" t="s">
        <v>157</v>
      </c>
      <c r="D14" s="31" t="n">
        <v>1</v>
      </c>
      <c r="E14" s="26"/>
      <c r="F14" s="27"/>
      <c r="G14" s="27"/>
    </row>
    <row r="15" customFormat="false" ht="15" hidden="false" customHeight="false" outlineLevel="0" collapsed="false">
      <c r="A15" s="41" t="s">
        <v>158</v>
      </c>
      <c r="B15" s="23" t="s">
        <v>159</v>
      </c>
      <c r="C15" s="24" t="s">
        <v>160</v>
      </c>
      <c r="D15" s="25" t="n">
        <v>1</v>
      </c>
      <c r="E15" s="26"/>
      <c r="F15" s="27"/>
      <c r="G15" s="27"/>
    </row>
    <row r="16" customFormat="false" ht="15" hidden="false" customHeight="false" outlineLevel="0" collapsed="false">
      <c r="A16" s="42" t="s">
        <v>161</v>
      </c>
      <c r="B16" s="29" t="s">
        <v>162</v>
      </c>
      <c r="C16" s="30" t="s">
        <v>163</v>
      </c>
      <c r="D16" s="31" t="n">
        <v>1</v>
      </c>
      <c r="E16" s="26"/>
      <c r="F16" s="27"/>
      <c r="G16" s="27"/>
    </row>
    <row r="17" customFormat="false" ht="15" hidden="false" customHeight="false" outlineLevel="0" collapsed="false">
      <c r="A17" s="41" t="s">
        <v>164</v>
      </c>
      <c r="B17" s="23" t="s">
        <v>165</v>
      </c>
      <c r="C17" s="24" t="s">
        <v>166</v>
      </c>
      <c r="D17" s="25" t="n">
        <v>1</v>
      </c>
      <c r="E17" s="26"/>
      <c r="F17" s="27"/>
      <c r="G17" s="27"/>
    </row>
    <row r="18" customFormat="false" ht="15" hidden="false" customHeight="false" outlineLevel="0" collapsed="false">
      <c r="A18" s="42" t="s">
        <v>167</v>
      </c>
      <c r="B18" s="29" t="s">
        <v>168</v>
      </c>
      <c r="C18" s="30" t="s">
        <v>169</v>
      </c>
      <c r="D18" s="31" t="n">
        <v>1</v>
      </c>
      <c r="E18" s="26"/>
      <c r="F18" s="27"/>
      <c r="G18" s="27"/>
    </row>
    <row r="20" customFormat="false" ht="15" hidden="false" customHeight="false" outlineLevel="0" collapsed="false">
      <c r="A20" s="32" t="s">
        <v>73</v>
      </c>
      <c r="B20" s="19"/>
      <c r="C20" s="19"/>
      <c r="D20" s="19"/>
      <c r="E20" s="19"/>
      <c r="F20" s="19"/>
      <c r="G20" s="19"/>
    </row>
    <row r="21" customFormat="false" ht="15" hidden="false" customHeight="false" outlineLevel="0" collapsed="false">
      <c r="A21" s="33" t="s">
        <v>9</v>
      </c>
      <c r="B21" s="34" t="n">
        <f aca="false">COUNTIF(E3:E18,"Compliant")</f>
        <v>0</v>
      </c>
    </row>
    <row r="22" customFormat="false" ht="15" hidden="false" customHeight="false" outlineLevel="0" collapsed="false">
      <c r="A22" s="33" t="s">
        <v>10</v>
      </c>
      <c r="B22" s="34" t="n">
        <f aca="false">COUNTIF(E3:E18,"Partial")</f>
        <v>0</v>
      </c>
    </row>
    <row r="23" customFormat="false" ht="15" hidden="false" customHeight="false" outlineLevel="0" collapsed="false">
      <c r="A23" s="33" t="s">
        <v>11</v>
      </c>
      <c r="B23" s="34" t="n">
        <f aca="false">COUNTIF(E3:E18,"Non-Compliant")</f>
        <v>0</v>
      </c>
    </row>
    <row r="24" customFormat="false" ht="15" hidden="false" customHeight="false" outlineLevel="0" collapsed="false">
      <c r="A24" s="33" t="s">
        <v>12</v>
      </c>
      <c r="B24" s="34" t="n">
        <f aca="false">COUNTIF(E3:E18,"N/A")</f>
        <v>0</v>
      </c>
    </row>
    <row r="25" customFormat="false" ht="15" hidden="false" customHeight="false" outlineLevel="0" collapsed="false">
      <c r="A25" s="33" t="s">
        <v>7</v>
      </c>
      <c r="B25" s="43" t="str">
        <f aca="false">IF(COUNTA(E3:E18)-COUNTIF(E3:E18,"N/A")=0,"-",ROUND((COUNTIF(E3:E18,"Compliant")*100+COUNTIF(E3:E18,"Partial")*50)/(COUNTA(E3:E18)-COUNTIF(E3:E18,"N/A")),0)&amp;"%")</f>
        <v>-</v>
      </c>
    </row>
  </sheetData>
  <mergeCells count="1">
    <mergeCell ref="A1:G1"/>
  </mergeCells>
  <conditionalFormatting sqref="E3:E18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18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8BFA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44" t="s">
        <v>170</v>
      </c>
      <c r="B1" s="44"/>
      <c r="C1" s="44"/>
      <c r="D1" s="44"/>
      <c r="E1" s="44"/>
      <c r="F1" s="44"/>
      <c r="G1" s="44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45" t="s">
        <v>171</v>
      </c>
      <c r="B3" s="23" t="s">
        <v>172</v>
      </c>
      <c r="C3" s="24" t="s">
        <v>173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46" t="s">
        <v>174</v>
      </c>
      <c r="B4" s="29" t="s">
        <v>175</v>
      </c>
      <c r="C4" s="30" t="s">
        <v>176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45" t="s">
        <v>177</v>
      </c>
      <c r="B5" s="23" t="s">
        <v>178</v>
      </c>
      <c r="C5" s="24" t="s">
        <v>179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46" t="s">
        <v>180</v>
      </c>
      <c r="B6" s="29" t="s">
        <v>181</v>
      </c>
      <c r="C6" s="30" t="s">
        <v>182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45" t="s">
        <v>183</v>
      </c>
      <c r="B7" s="23" t="s">
        <v>184</v>
      </c>
      <c r="C7" s="24" t="s">
        <v>185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46" t="s">
        <v>186</v>
      </c>
      <c r="B8" s="29" t="s">
        <v>187</v>
      </c>
      <c r="C8" s="30" t="s">
        <v>188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45" t="s">
        <v>189</v>
      </c>
      <c r="B9" s="23" t="s">
        <v>190</v>
      </c>
      <c r="C9" s="24" t="s">
        <v>191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46" t="s">
        <v>192</v>
      </c>
      <c r="B10" s="29" t="s">
        <v>193</v>
      </c>
      <c r="C10" s="30" t="s">
        <v>194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45" t="s">
        <v>195</v>
      </c>
      <c r="B11" s="23" t="s">
        <v>196</v>
      </c>
      <c r="C11" s="24" t="s">
        <v>197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46" t="s">
        <v>198</v>
      </c>
      <c r="B12" s="29" t="s">
        <v>199</v>
      </c>
      <c r="C12" s="30" t="s">
        <v>200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45" t="s">
        <v>201</v>
      </c>
      <c r="B13" s="23" t="s">
        <v>202</v>
      </c>
      <c r="C13" s="24" t="s">
        <v>200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46" t="s">
        <v>203</v>
      </c>
      <c r="B14" s="29" t="s">
        <v>204</v>
      </c>
      <c r="C14" s="30" t="s">
        <v>205</v>
      </c>
      <c r="D14" s="31" t="n">
        <v>1</v>
      </c>
      <c r="E14" s="26"/>
      <c r="F14" s="27"/>
      <c r="G14" s="27"/>
    </row>
    <row r="15" customFormat="false" ht="15" hidden="false" customHeight="false" outlineLevel="0" collapsed="false">
      <c r="A15" s="45" t="s">
        <v>206</v>
      </c>
      <c r="B15" s="23" t="s">
        <v>207</v>
      </c>
      <c r="C15" s="24" t="s">
        <v>208</v>
      </c>
      <c r="D15" s="25" t="n">
        <v>1</v>
      </c>
      <c r="E15" s="26"/>
      <c r="F15" s="27"/>
      <c r="G15" s="27"/>
    </row>
    <row r="16" customFormat="false" ht="15" hidden="false" customHeight="false" outlineLevel="0" collapsed="false">
      <c r="A16" s="46" t="s">
        <v>209</v>
      </c>
      <c r="B16" s="29" t="s">
        <v>210</v>
      </c>
      <c r="C16" s="30" t="s">
        <v>211</v>
      </c>
      <c r="D16" s="31" t="n">
        <v>1</v>
      </c>
      <c r="E16" s="26"/>
      <c r="F16" s="27"/>
      <c r="G16" s="27"/>
    </row>
    <row r="18" customFormat="false" ht="15" hidden="false" customHeight="false" outlineLevel="0" collapsed="false">
      <c r="A18" s="32" t="s">
        <v>73</v>
      </c>
      <c r="B18" s="19"/>
      <c r="C18" s="19"/>
      <c r="D18" s="19"/>
      <c r="E18" s="19"/>
      <c r="F18" s="19"/>
      <c r="G18" s="19"/>
    </row>
    <row r="19" customFormat="false" ht="15" hidden="false" customHeight="false" outlineLevel="0" collapsed="false">
      <c r="A19" s="33" t="s">
        <v>9</v>
      </c>
      <c r="B19" s="34" t="n">
        <f aca="false">COUNTIF(E3:E16,"Compliant")</f>
        <v>0</v>
      </c>
    </row>
    <row r="20" customFormat="false" ht="15" hidden="false" customHeight="false" outlineLevel="0" collapsed="false">
      <c r="A20" s="33" t="s">
        <v>10</v>
      </c>
      <c r="B20" s="34" t="n">
        <f aca="false">COUNTIF(E3:E16,"Partial")</f>
        <v>0</v>
      </c>
    </row>
    <row r="21" customFormat="false" ht="15" hidden="false" customHeight="false" outlineLevel="0" collapsed="false">
      <c r="A21" s="33" t="s">
        <v>11</v>
      </c>
      <c r="B21" s="34" t="n">
        <f aca="false">COUNTIF(E3:E16,"Non-Compliant")</f>
        <v>0</v>
      </c>
    </row>
    <row r="22" customFormat="false" ht="15" hidden="false" customHeight="false" outlineLevel="0" collapsed="false">
      <c r="A22" s="33" t="s">
        <v>12</v>
      </c>
      <c r="B22" s="34" t="n">
        <f aca="false">COUNTIF(E3:E16,"N/A")</f>
        <v>0</v>
      </c>
    </row>
    <row r="23" customFormat="false" ht="15" hidden="false" customHeight="false" outlineLevel="0" collapsed="false">
      <c r="A23" s="33" t="s">
        <v>7</v>
      </c>
      <c r="B23" s="47" t="str">
        <f aca="false">IF(COUNTA(E3:E16)-COUNTIF(E3:E16,"N/A")=0,"-",ROUND((COUNTIF(E3:E16,"Compliant")*100+COUNTIF(E3:E16,"Partial")*50)/(COUNTA(E3:E16)-COUNTIF(E3:E16,"N/A")),0)&amp;"%")</f>
        <v>-</v>
      </c>
    </row>
  </sheetData>
  <mergeCells count="1">
    <mergeCell ref="A1:G1"/>
  </mergeCells>
  <conditionalFormatting sqref="E3:E16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16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72B6"/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48" t="s">
        <v>212</v>
      </c>
      <c r="B1" s="48"/>
      <c r="C1" s="48"/>
      <c r="D1" s="48"/>
      <c r="E1" s="48"/>
      <c r="F1" s="48"/>
      <c r="G1" s="48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49" t="s">
        <v>213</v>
      </c>
      <c r="B3" s="23" t="s">
        <v>214</v>
      </c>
      <c r="C3" s="24" t="s">
        <v>215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50" t="s">
        <v>216</v>
      </c>
      <c r="B4" s="29" t="s">
        <v>217</v>
      </c>
      <c r="C4" s="30" t="s">
        <v>215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49" t="s">
        <v>218</v>
      </c>
      <c r="B5" s="23" t="s">
        <v>219</v>
      </c>
      <c r="C5" s="24" t="s">
        <v>215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50" t="s">
        <v>220</v>
      </c>
      <c r="B6" s="29" t="s">
        <v>221</v>
      </c>
      <c r="C6" s="30" t="s">
        <v>215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49" t="s">
        <v>222</v>
      </c>
      <c r="B7" s="23" t="s">
        <v>223</v>
      </c>
      <c r="C7" s="24" t="s">
        <v>215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50" t="s">
        <v>224</v>
      </c>
      <c r="B8" s="29" t="s">
        <v>225</v>
      </c>
      <c r="C8" s="30" t="s">
        <v>215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49" t="s">
        <v>226</v>
      </c>
      <c r="B9" s="23" t="s">
        <v>227</v>
      </c>
      <c r="C9" s="24" t="s">
        <v>215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50" t="s">
        <v>228</v>
      </c>
      <c r="B10" s="29" t="s">
        <v>229</v>
      </c>
      <c r="C10" s="30" t="s">
        <v>57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49" t="s">
        <v>230</v>
      </c>
      <c r="B11" s="23" t="s">
        <v>231</v>
      </c>
      <c r="C11" s="24" t="s">
        <v>57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50" t="s">
        <v>232</v>
      </c>
      <c r="B12" s="29" t="s">
        <v>233</v>
      </c>
      <c r="C12" s="30" t="s">
        <v>234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49" t="s">
        <v>235</v>
      </c>
      <c r="B13" s="23" t="s">
        <v>236</v>
      </c>
      <c r="C13" s="24" t="s">
        <v>234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50" t="s">
        <v>237</v>
      </c>
      <c r="B14" s="29" t="s">
        <v>238</v>
      </c>
      <c r="C14" s="30" t="s">
        <v>234</v>
      </c>
      <c r="D14" s="31" t="n">
        <v>1</v>
      </c>
      <c r="E14" s="26"/>
      <c r="F14" s="27"/>
      <c r="G14" s="27"/>
    </row>
    <row r="15" customFormat="false" ht="15" hidden="false" customHeight="false" outlineLevel="0" collapsed="false">
      <c r="A15" s="49" t="s">
        <v>239</v>
      </c>
      <c r="B15" s="23" t="s">
        <v>240</v>
      </c>
      <c r="C15" s="24" t="s">
        <v>234</v>
      </c>
      <c r="D15" s="25" t="n">
        <v>1</v>
      </c>
      <c r="E15" s="26"/>
      <c r="F15" s="27"/>
      <c r="G15" s="27"/>
    </row>
    <row r="16" customFormat="false" ht="15" hidden="false" customHeight="false" outlineLevel="0" collapsed="false">
      <c r="A16" s="50" t="s">
        <v>241</v>
      </c>
      <c r="B16" s="29" t="s">
        <v>242</v>
      </c>
      <c r="C16" s="30" t="s">
        <v>234</v>
      </c>
      <c r="D16" s="31" t="n">
        <v>1</v>
      </c>
      <c r="E16" s="26"/>
      <c r="F16" s="27"/>
      <c r="G16" s="27"/>
    </row>
    <row r="17" customFormat="false" ht="15" hidden="false" customHeight="false" outlineLevel="0" collapsed="false">
      <c r="A17" s="49" t="s">
        <v>243</v>
      </c>
      <c r="B17" s="23" t="s">
        <v>244</v>
      </c>
      <c r="C17" s="24" t="s">
        <v>245</v>
      </c>
      <c r="D17" s="25" t="n">
        <v>1</v>
      </c>
      <c r="E17" s="26"/>
      <c r="F17" s="27"/>
      <c r="G17" s="27"/>
    </row>
    <row r="18" customFormat="false" ht="15" hidden="false" customHeight="false" outlineLevel="0" collapsed="false">
      <c r="A18" s="50" t="s">
        <v>246</v>
      </c>
      <c r="B18" s="29" t="s">
        <v>247</v>
      </c>
      <c r="C18" s="30" t="s">
        <v>245</v>
      </c>
      <c r="D18" s="31" t="n">
        <v>1</v>
      </c>
      <c r="E18" s="26"/>
      <c r="F18" s="27"/>
      <c r="G18" s="27"/>
    </row>
    <row r="20" customFormat="false" ht="15" hidden="false" customHeight="false" outlineLevel="0" collapsed="false">
      <c r="A20" s="32" t="s">
        <v>73</v>
      </c>
      <c r="B20" s="19"/>
      <c r="C20" s="19"/>
      <c r="D20" s="19"/>
      <c r="E20" s="19"/>
      <c r="F20" s="19"/>
      <c r="G20" s="19"/>
    </row>
    <row r="21" customFormat="false" ht="15" hidden="false" customHeight="false" outlineLevel="0" collapsed="false">
      <c r="A21" s="33" t="s">
        <v>9</v>
      </c>
      <c r="B21" s="34" t="n">
        <f aca="false">COUNTIF(E3:E18,"Compliant")</f>
        <v>0</v>
      </c>
    </row>
    <row r="22" customFormat="false" ht="15" hidden="false" customHeight="false" outlineLevel="0" collapsed="false">
      <c r="A22" s="33" t="s">
        <v>10</v>
      </c>
      <c r="B22" s="34" t="n">
        <f aca="false">COUNTIF(E3:E18,"Partial")</f>
        <v>0</v>
      </c>
    </row>
    <row r="23" customFormat="false" ht="15" hidden="false" customHeight="false" outlineLevel="0" collapsed="false">
      <c r="A23" s="33" t="s">
        <v>11</v>
      </c>
      <c r="B23" s="34" t="n">
        <f aca="false">COUNTIF(E3:E18,"Non-Compliant")</f>
        <v>0</v>
      </c>
    </row>
    <row r="24" customFormat="false" ht="15" hidden="false" customHeight="false" outlineLevel="0" collapsed="false">
      <c r="A24" s="33" t="s">
        <v>12</v>
      </c>
      <c r="B24" s="34" t="n">
        <f aca="false">COUNTIF(E3:E18,"N/A")</f>
        <v>0</v>
      </c>
    </row>
    <row r="25" customFormat="false" ht="15" hidden="false" customHeight="false" outlineLevel="0" collapsed="false">
      <c r="A25" s="33" t="s">
        <v>7</v>
      </c>
      <c r="B25" s="51" t="str">
        <f aca="false">IF(COUNTA(E3:E18)-COUNTIF(E3:E18,"N/A")=0,"-",ROUND((COUNTIF(E3:E18,"Compliant")*100+COUNTIF(E3:E18,"Partial")*50)/(COUNTA(E3:E18)-COUNTIF(E3:E18,"N/A")),0)&amp;"%")</f>
        <v>-</v>
      </c>
    </row>
  </sheetData>
  <mergeCells count="1">
    <mergeCell ref="A1:G1"/>
  </mergeCells>
  <conditionalFormatting sqref="E3:E18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18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52" t="s">
        <v>248</v>
      </c>
      <c r="B1" s="52"/>
      <c r="C1" s="52"/>
      <c r="D1" s="52"/>
      <c r="E1" s="52"/>
      <c r="F1" s="52"/>
      <c r="G1" s="52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53" t="s">
        <v>249</v>
      </c>
      <c r="B3" s="23" t="s">
        <v>250</v>
      </c>
      <c r="C3" s="24" t="s">
        <v>251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54" t="s">
        <v>252</v>
      </c>
      <c r="B4" s="29" t="s">
        <v>253</v>
      </c>
      <c r="C4" s="30" t="s">
        <v>251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53" t="s">
        <v>254</v>
      </c>
      <c r="B5" s="23" t="s">
        <v>255</v>
      </c>
      <c r="C5" s="24" t="s">
        <v>251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54" t="s">
        <v>256</v>
      </c>
      <c r="B6" s="29" t="s">
        <v>257</v>
      </c>
      <c r="C6" s="30" t="s">
        <v>251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53" t="s">
        <v>258</v>
      </c>
      <c r="B7" s="23" t="s">
        <v>259</v>
      </c>
      <c r="C7" s="24" t="s">
        <v>260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54" t="s">
        <v>261</v>
      </c>
      <c r="B8" s="29" t="s">
        <v>262</v>
      </c>
      <c r="C8" s="30" t="s">
        <v>260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53" t="s">
        <v>263</v>
      </c>
      <c r="B9" s="23" t="s">
        <v>264</v>
      </c>
      <c r="C9" s="24" t="s">
        <v>265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54" t="s">
        <v>266</v>
      </c>
      <c r="B10" s="29" t="s">
        <v>267</v>
      </c>
      <c r="C10" s="30" t="s">
        <v>265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53" t="s">
        <v>268</v>
      </c>
      <c r="B11" s="23" t="s">
        <v>269</v>
      </c>
      <c r="C11" s="24" t="s">
        <v>265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54" t="s">
        <v>270</v>
      </c>
      <c r="B12" s="29" t="s">
        <v>271</v>
      </c>
      <c r="C12" s="30" t="s">
        <v>265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53" t="s">
        <v>272</v>
      </c>
      <c r="B13" s="23" t="s">
        <v>273</v>
      </c>
      <c r="C13" s="24" t="s">
        <v>265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54" t="s">
        <v>274</v>
      </c>
      <c r="B14" s="29" t="s">
        <v>275</v>
      </c>
      <c r="C14" s="30" t="s">
        <v>276</v>
      </c>
      <c r="D14" s="31" t="n">
        <v>1</v>
      </c>
      <c r="E14" s="26"/>
      <c r="F14" s="27"/>
      <c r="G14" s="27"/>
    </row>
    <row r="15" customFormat="false" ht="15" hidden="false" customHeight="false" outlineLevel="0" collapsed="false">
      <c r="A15" s="53" t="s">
        <v>277</v>
      </c>
      <c r="B15" s="23" t="s">
        <v>278</v>
      </c>
      <c r="C15" s="24" t="s">
        <v>276</v>
      </c>
      <c r="D15" s="25" t="n">
        <v>1</v>
      </c>
      <c r="E15" s="26"/>
      <c r="F15" s="27"/>
      <c r="G15" s="27"/>
    </row>
    <row r="16" customFormat="false" ht="15" hidden="false" customHeight="false" outlineLevel="0" collapsed="false">
      <c r="A16" s="54" t="s">
        <v>279</v>
      </c>
      <c r="B16" s="29" t="s">
        <v>280</v>
      </c>
      <c r="C16" s="30" t="s">
        <v>281</v>
      </c>
      <c r="D16" s="31" t="n">
        <v>1</v>
      </c>
      <c r="E16" s="26"/>
      <c r="F16" s="27"/>
      <c r="G16" s="27"/>
    </row>
    <row r="17" customFormat="false" ht="15" hidden="false" customHeight="false" outlineLevel="0" collapsed="false">
      <c r="A17" s="53" t="s">
        <v>282</v>
      </c>
      <c r="B17" s="23" t="s">
        <v>283</v>
      </c>
      <c r="C17" s="24" t="s">
        <v>281</v>
      </c>
      <c r="D17" s="25" t="n">
        <v>1</v>
      </c>
      <c r="E17" s="26"/>
      <c r="F17" s="27"/>
      <c r="G17" s="27"/>
    </row>
    <row r="18" customFormat="false" ht="15" hidden="false" customHeight="false" outlineLevel="0" collapsed="false">
      <c r="A18" s="54" t="s">
        <v>284</v>
      </c>
      <c r="B18" s="29" t="s">
        <v>285</v>
      </c>
      <c r="C18" s="30" t="s">
        <v>286</v>
      </c>
      <c r="D18" s="31" t="n">
        <v>1</v>
      </c>
      <c r="E18" s="26"/>
      <c r="F18" s="27"/>
      <c r="G18" s="27"/>
    </row>
    <row r="20" customFormat="false" ht="15" hidden="false" customHeight="false" outlineLevel="0" collapsed="false">
      <c r="A20" s="32" t="s">
        <v>73</v>
      </c>
      <c r="B20" s="19"/>
      <c r="C20" s="19"/>
      <c r="D20" s="19"/>
      <c r="E20" s="19"/>
      <c r="F20" s="19"/>
      <c r="G20" s="19"/>
    </row>
    <row r="21" customFormat="false" ht="15" hidden="false" customHeight="false" outlineLevel="0" collapsed="false">
      <c r="A21" s="33" t="s">
        <v>9</v>
      </c>
      <c r="B21" s="34" t="n">
        <f aca="false">COUNTIF(E3:E18,"Compliant")</f>
        <v>0</v>
      </c>
    </row>
    <row r="22" customFormat="false" ht="15" hidden="false" customHeight="false" outlineLevel="0" collapsed="false">
      <c r="A22" s="33" t="s">
        <v>10</v>
      </c>
      <c r="B22" s="34" t="n">
        <f aca="false">COUNTIF(E3:E18,"Partial")</f>
        <v>0</v>
      </c>
    </row>
    <row r="23" customFormat="false" ht="15" hidden="false" customHeight="false" outlineLevel="0" collapsed="false">
      <c r="A23" s="33" t="s">
        <v>11</v>
      </c>
      <c r="B23" s="34" t="n">
        <f aca="false">COUNTIF(E3:E18,"Non-Compliant")</f>
        <v>0</v>
      </c>
    </row>
    <row r="24" customFormat="false" ht="15" hidden="false" customHeight="false" outlineLevel="0" collapsed="false">
      <c r="A24" s="33" t="s">
        <v>12</v>
      </c>
      <c r="B24" s="34" t="n">
        <f aca="false">COUNTIF(E3:E18,"N/A")</f>
        <v>0</v>
      </c>
    </row>
    <row r="25" customFormat="false" ht="15" hidden="false" customHeight="false" outlineLevel="0" collapsed="false">
      <c r="A25" s="33" t="s">
        <v>7</v>
      </c>
      <c r="B25" s="55" t="str">
        <f aca="false">IF(COUNTA(E3:E18)-COUNTIF(E3:E18,"N/A")=0,"-",ROUND((COUNTIF(E3:E18,"Compliant")*100+COUNTIF(E3:E18,"Partial")*50)/(COUNTA(E3:E18)-COUNTIF(E3:E18,"N/A")),0)&amp;"%")</f>
        <v>-</v>
      </c>
    </row>
  </sheetData>
  <mergeCells count="1">
    <mergeCell ref="A1:G1"/>
  </mergeCells>
  <conditionalFormatting sqref="E3:E18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18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BF24"/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56" t="s">
        <v>287</v>
      </c>
      <c r="B1" s="56"/>
      <c r="C1" s="56"/>
      <c r="D1" s="56"/>
      <c r="E1" s="56"/>
      <c r="F1" s="56"/>
      <c r="G1" s="56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57" t="s">
        <v>288</v>
      </c>
      <c r="B3" s="23" t="s">
        <v>289</v>
      </c>
      <c r="C3" s="24" t="s">
        <v>290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58" t="s">
        <v>291</v>
      </c>
      <c r="B4" s="29" t="s">
        <v>292</v>
      </c>
      <c r="C4" s="30" t="s">
        <v>290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57" t="s">
        <v>293</v>
      </c>
      <c r="B5" s="23" t="s">
        <v>294</v>
      </c>
      <c r="C5" s="24" t="s">
        <v>295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58" t="s">
        <v>296</v>
      </c>
      <c r="B6" s="29" t="s">
        <v>297</v>
      </c>
      <c r="C6" s="30" t="s">
        <v>295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57" t="s">
        <v>298</v>
      </c>
      <c r="B7" s="23" t="s">
        <v>299</v>
      </c>
      <c r="C7" s="24" t="s">
        <v>300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58" t="s">
        <v>301</v>
      </c>
      <c r="B8" s="29" t="s">
        <v>302</v>
      </c>
      <c r="C8" s="30" t="s">
        <v>300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57" t="s">
        <v>303</v>
      </c>
      <c r="B9" s="23" t="s">
        <v>304</v>
      </c>
      <c r="C9" s="24" t="s">
        <v>125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58" t="s">
        <v>305</v>
      </c>
      <c r="B10" s="29" t="s">
        <v>306</v>
      </c>
      <c r="C10" s="30" t="s">
        <v>125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57" t="s">
        <v>307</v>
      </c>
      <c r="B11" s="23" t="s">
        <v>308</v>
      </c>
      <c r="C11" s="24" t="s">
        <v>125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58" t="s">
        <v>309</v>
      </c>
      <c r="B12" s="29" t="s">
        <v>310</v>
      </c>
      <c r="C12" s="30" t="s">
        <v>311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57" t="s">
        <v>312</v>
      </c>
      <c r="B13" s="23" t="s">
        <v>313</v>
      </c>
      <c r="C13" s="24" t="s">
        <v>311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58" t="s">
        <v>314</v>
      </c>
      <c r="B14" s="29" t="s">
        <v>315</v>
      </c>
      <c r="C14" s="30" t="s">
        <v>316</v>
      </c>
      <c r="D14" s="31" t="n">
        <v>1</v>
      </c>
      <c r="E14" s="26"/>
      <c r="F14" s="27"/>
      <c r="G14" s="27"/>
    </row>
    <row r="16" customFormat="false" ht="15" hidden="false" customHeight="false" outlineLevel="0" collapsed="false">
      <c r="A16" s="32" t="s">
        <v>73</v>
      </c>
      <c r="B16" s="19"/>
      <c r="C16" s="19"/>
      <c r="D16" s="19"/>
      <c r="E16" s="19"/>
      <c r="F16" s="19"/>
      <c r="G16" s="19"/>
    </row>
    <row r="17" customFormat="false" ht="15" hidden="false" customHeight="false" outlineLevel="0" collapsed="false">
      <c r="A17" s="33" t="s">
        <v>9</v>
      </c>
      <c r="B17" s="34" t="n">
        <f aca="false">COUNTIF(E3:E14,"Compliant")</f>
        <v>0</v>
      </c>
    </row>
    <row r="18" customFormat="false" ht="15" hidden="false" customHeight="false" outlineLevel="0" collapsed="false">
      <c r="A18" s="33" t="s">
        <v>10</v>
      </c>
      <c r="B18" s="34" t="n">
        <f aca="false">COUNTIF(E3:E14,"Partial")</f>
        <v>0</v>
      </c>
    </row>
    <row r="19" customFormat="false" ht="15" hidden="false" customHeight="false" outlineLevel="0" collapsed="false">
      <c r="A19" s="33" t="s">
        <v>11</v>
      </c>
      <c r="B19" s="34" t="n">
        <f aca="false">COUNTIF(E3:E14,"Non-Compliant")</f>
        <v>0</v>
      </c>
    </row>
    <row r="20" customFormat="false" ht="15" hidden="false" customHeight="false" outlineLevel="0" collapsed="false">
      <c r="A20" s="33" t="s">
        <v>12</v>
      </c>
      <c r="B20" s="34" t="n">
        <f aca="false">COUNTIF(E3:E14,"N/A")</f>
        <v>0</v>
      </c>
    </row>
    <row r="21" customFormat="false" ht="15" hidden="false" customHeight="false" outlineLevel="0" collapsed="false">
      <c r="A21" s="33" t="s">
        <v>7</v>
      </c>
      <c r="B21" s="59" t="str">
        <f aca="false">IF(COUNTA(E3:E14)-COUNTIF(E3:E14,"N/A")=0,"-",ROUND((COUNTIF(E3:E14,"Compliant")*100+COUNTIF(E3:E14,"Partial")*50)/(COUNTA(E3:E14)-COUNTIF(E3:E14,"N/A")),0)&amp;"%")</f>
        <v>-</v>
      </c>
    </row>
  </sheetData>
  <mergeCells count="1">
    <mergeCell ref="A1:G1"/>
  </mergeCells>
  <conditionalFormatting sqref="E3:E14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14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923C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60" t="s">
        <v>317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61" t="s">
        <v>318</v>
      </c>
      <c r="B3" s="23" t="s">
        <v>319</v>
      </c>
      <c r="C3" s="24" t="s">
        <v>320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62" t="s">
        <v>321</v>
      </c>
      <c r="B4" s="29" t="s">
        <v>322</v>
      </c>
      <c r="C4" s="30" t="s">
        <v>323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61" t="s">
        <v>324</v>
      </c>
      <c r="B5" s="23" t="s">
        <v>325</v>
      </c>
      <c r="C5" s="24" t="s">
        <v>326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62" t="s">
        <v>327</v>
      </c>
      <c r="B6" s="29" t="s">
        <v>328</v>
      </c>
      <c r="C6" s="30" t="s">
        <v>326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61" t="s">
        <v>329</v>
      </c>
      <c r="B7" s="23" t="s">
        <v>330</v>
      </c>
      <c r="C7" s="24" t="s">
        <v>331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62" t="s">
        <v>332</v>
      </c>
      <c r="B8" s="29" t="s">
        <v>333</v>
      </c>
      <c r="C8" s="30" t="s">
        <v>125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61" t="s">
        <v>334</v>
      </c>
      <c r="B9" s="23" t="s">
        <v>335</v>
      </c>
      <c r="C9" s="24" t="s">
        <v>336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62" t="s">
        <v>337</v>
      </c>
      <c r="B10" s="29" t="s">
        <v>338</v>
      </c>
      <c r="C10" s="30" t="s">
        <v>151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61" t="s">
        <v>339</v>
      </c>
      <c r="B11" s="23" t="s">
        <v>340</v>
      </c>
      <c r="C11" s="24" t="s">
        <v>134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62" t="s">
        <v>341</v>
      </c>
      <c r="B12" s="29" t="s">
        <v>342</v>
      </c>
      <c r="C12" s="30" t="s">
        <v>343</v>
      </c>
      <c r="D12" s="31" t="n">
        <v>1</v>
      </c>
      <c r="E12" s="26"/>
      <c r="F12" s="27"/>
      <c r="G12" s="27"/>
    </row>
    <row r="14" customFormat="false" ht="15" hidden="false" customHeight="false" outlineLevel="0" collapsed="false">
      <c r="A14" s="32" t="s">
        <v>73</v>
      </c>
      <c r="B14" s="19"/>
      <c r="C14" s="19"/>
      <c r="D14" s="19"/>
      <c r="E14" s="19"/>
      <c r="F14" s="19"/>
      <c r="G14" s="19"/>
    </row>
    <row r="15" customFormat="false" ht="15" hidden="false" customHeight="false" outlineLevel="0" collapsed="false">
      <c r="A15" s="33" t="s">
        <v>9</v>
      </c>
      <c r="B15" s="34" t="n">
        <f aca="false">COUNTIF(E3:E12,"Compliant")</f>
        <v>0</v>
      </c>
    </row>
    <row r="16" customFormat="false" ht="15" hidden="false" customHeight="false" outlineLevel="0" collapsed="false">
      <c r="A16" s="33" t="s">
        <v>10</v>
      </c>
      <c r="B16" s="34" t="n">
        <f aca="false">COUNTIF(E3:E12,"Partial")</f>
        <v>0</v>
      </c>
    </row>
    <row r="17" customFormat="false" ht="15" hidden="false" customHeight="false" outlineLevel="0" collapsed="false">
      <c r="A17" s="33" t="s">
        <v>11</v>
      </c>
      <c r="B17" s="34" t="n">
        <f aca="false">COUNTIF(E3:E12,"Non-Compliant")</f>
        <v>0</v>
      </c>
    </row>
    <row r="18" customFormat="false" ht="15" hidden="false" customHeight="false" outlineLevel="0" collapsed="false">
      <c r="A18" s="33" t="s">
        <v>12</v>
      </c>
      <c r="B18" s="34" t="n">
        <f aca="false">COUNTIF(E3:E12,"N/A")</f>
        <v>0</v>
      </c>
    </row>
    <row r="19" customFormat="false" ht="15" hidden="false" customHeight="false" outlineLevel="0" collapsed="false">
      <c r="A19" s="33" t="s">
        <v>7</v>
      </c>
      <c r="B19" s="63" t="str">
        <f aca="false">IF(COUNTA(E3:E12)-COUNTIF(E3:E12,"N/A")=0,"-",ROUND((COUNTIF(E3:E12,"Compliant")*100+COUNTIF(E3:E12,"Partial")*50)/(COUNTA(E3:E12)-COUNTIF(E3:E12,"N/A")),0)&amp;"%")</f>
        <v>-</v>
      </c>
    </row>
  </sheetData>
  <mergeCells count="1">
    <mergeCell ref="A1:G1"/>
  </mergeCells>
  <conditionalFormatting sqref="E3:E12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12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84FC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64" t="s">
        <v>344</v>
      </c>
      <c r="B1" s="64"/>
      <c r="C1" s="64"/>
      <c r="D1" s="64"/>
      <c r="E1" s="64"/>
      <c r="F1" s="64"/>
      <c r="G1" s="64"/>
    </row>
    <row r="2" customFormat="false" ht="15" hidden="false" customHeight="false" outlineLevel="0" collapsed="false">
      <c r="A2" s="21" t="s">
        <v>24</v>
      </c>
      <c r="B2" s="21" t="s">
        <v>25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</row>
    <row r="3" customFormat="false" ht="15" hidden="false" customHeight="false" outlineLevel="0" collapsed="false">
      <c r="A3" s="65" t="s">
        <v>345</v>
      </c>
      <c r="B3" s="23" t="s">
        <v>346</v>
      </c>
      <c r="C3" s="24" t="s">
        <v>347</v>
      </c>
      <c r="D3" s="25" t="n">
        <v>1</v>
      </c>
      <c r="E3" s="26"/>
      <c r="F3" s="27"/>
      <c r="G3" s="27"/>
    </row>
    <row r="4" customFormat="false" ht="15" hidden="false" customHeight="false" outlineLevel="0" collapsed="false">
      <c r="A4" s="66" t="s">
        <v>348</v>
      </c>
      <c r="B4" s="29" t="s">
        <v>349</v>
      </c>
      <c r="C4" s="30" t="s">
        <v>347</v>
      </c>
      <c r="D4" s="31" t="n">
        <v>1</v>
      </c>
      <c r="E4" s="26"/>
      <c r="F4" s="27"/>
      <c r="G4" s="27"/>
    </row>
    <row r="5" customFormat="false" ht="15" hidden="false" customHeight="false" outlineLevel="0" collapsed="false">
      <c r="A5" s="65" t="s">
        <v>350</v>
      </c>
      <c r="B5" s="23" t="s">
        <v>351</v>
      </c>
      <c r="C5" s="24" t="s">
        <v>352</v>
      </c>
      <c r="D5" s="25" t="n">
        <v>1</v>
      </c>
      <c r="E5" s="26"/>
      <c r="F5" s="27"/>
      <c r="G5" s="27"/>
    </row>
    <row r="6" customFormat="false" ht="15" hidden="false" customHeight="false" outlineLevel="0" collapsed="false">
      <c r="A6" s="66" t="s">
        <v>353</v>
      </c>
      <c r="B6" s="29" t="s">
        <v>354</v>
      </c>
      <c r="C6" s="30" t="s">
        <v>352</v>
      </c>
      <c r="D6" s="31" t="n">
        <v>1</v>
      </c>
      <c r="E6" s="26"/>
      <c r="F6" s="27"/>
      <c r="G6" s="27"/>
    </row>
    <row r="7" customFormat="false" ht="15" hidden="false" customHeight="false" outlineLevel="0" collapsed="false">
      <c r="A7" s="65" t="s">
        <v>355</v>
      </c>
      <c r="B7" s="23" t="s">
        <v>356</v>
      </c>
      <c r="C7" s="24" t="s">
        <v>357</v>
      </c>
      <c r="D7" s="25" t="n">
        <v>1</v>
      </c>
      <c r="E7" s="26"/>
      <c r="F7" s="27"/>
      <c r="G7" s="27"/>
    </row>
    <row r="8" customFormat="false" ht="15" hidden="false" customHeight="false" outlineLevel="0" collapsed="false">
      <c r="A8" s="66" t="s">
        <v>358</v>
      </c>
      <c r="B8" s="29" t="s">
        <v>359</v>
      </c>
      <c r="C8" s="30" t="s">
        <v>357</v>
      </c>
      <c r="D8" s="31" t="n">
        <v>1</v>
      </c>
      <c r="E8" s="26"/>
      <c r="F8" s="27"/>
      <c r="G8" s="27"/>
    </row>
    <row r="9" customFormat="false" ht="15" hidden="false" customHeight="false" outlineLevel="0" collapsed="false">
      <c r="A9" s="65" t="s">
        <v>34</v>
      </c>
      <c r="B9" s="23" t="s">
        <v>360</v>
      </c>
      <c r="C9" s="24" t="s">
        <v>361</v>
      </c>
      <c r="D9" s="25" t="n">
        <v>1</v>
      </c>
      <c r="E9" s="26"/>
      <c r="F9" s="27"/>
      <c r="G9" s="27"/>
    </row>
    <row r="10" customFormat="false" ht="15" hidden="false" customHeight="false" outlineLevel="0" collapsed="false">
      <c r="A10" s="66" t="s">
        <v>362</v>
      </c>
      <c r="B10" s="29" t="s">
        <v>363</v>
      </c>
      <c r="C10" s="30" t="s">
        <v>361</v>
      </c>
      <c r="D10" s="31" t="n">
        <v>1</v>
      </c>
      <c r="E10" s="26"/>
      <c r="F10" s="27"/>
      <c r="G10" s="27"/>
    </row>
    <row r="11" customFormat="false" ht="15" hidden="false" customHeight="false" outlineLevel="0" collapsed="false">
      <c r="A11" s="65" t="s">
        <v>50</v>
      </c>
      <c r="B11" s="23" t="s">
        <v>364</v>
      </c>
      <c r="C11" s="24" t="s">
        <v>365</v>
      </c>
      <c r="D11" s="25" t="n">
        <v>1</v>
      </c>
      <c r="E11" s="26"/>
      <c r="F11" s="27"/>
      <c r="G11" s="27"/>
    </row>
    <row r="12" customFormat="false" ht="15" hidden="false" customHeight="false" outlineLevel="0" collapsed="false">
      <c r="A12" s="66" t="s">
        <v>366</v>
      </c>
      <c r="B12" s="29" t="s">
        <v>367</v>
      </c>
      <c r="C12" s="30" t="s">
        <v>365</v>
      </c>
      <c r="D12" s="31" t="n">
        <v>1</v>
      </c>
      <c r="E12" s="26"/>
      <c r="F12" s="27"/>
      <c r="G12" s="27"/>
    </row>
    <row r="13" customFormat="false" ht="15" hidden="false" customHeight="false" outlineLevel="0" collapsed="false">
      <c r="A13" s="65" t="s">
        <v>368</v>
      </c>
      <c r="B13" s="23" t="s">
        <v>369</v>
      </c>
      <c r="C13" s="24" t="s">
        <v>370</v>
      </c>
      <c r="D13" s="25" t="n">
        <v>1</v>
      </c>
      <c r="E13" s="26"/>
      <c r="F13" s="27"/>
      <c r="G13" s="27"/>
    </row>
    <row r="14" customFormat="false" ht="15" hidden="false" customHeight="false" outlineLevel="0" collapsed="false">
      <c r="A14" s="66" t="s">
        <v>371</v>
      </c>
      <c r="B14" s="29" t="s">
        <v>372</v>
      </c>
      <c r="C14" s="30" t="s">
        <v>370</v>
      </c>
      <c r="D14" s="31" t="n">
        <v>1</v>
      </c>
      <c r="E14" s="26"/>
      <c r="F14" s="27"/>
      <c r="G14" s="27"/>
    </row>
    <row r="15" customFormat="false" ht="15" hidden="false" customHeight="false" outlineLevel="0" collapsed="false">
      <c r="A15" s="65" t="s">
        <v>58</v>
      </c>
      <c r="B15" s="23" t="s">
        <v>373</v>
      </c>
      <c r="C15" s="24" t="s">
        <v>374</v>
      </c>
      <c r="D15" s="25" t="n">
        <v>1</v>
      </c>
      <c r="E15" s="26"/>
      <c r="F15" s="27"/>
      <c r="G15" s="27"/>
    </row>
    <row r="16" customFormat="false" ht="15" hidden="false" customHeight="false" outlineLevel="0" collapsed="false">
      <c r="A16" s="66" t="s">
        <v>375</v>
      </c>
      <c r="B16" s="29" t="s">
        <v>376</v>
      </c>
      <c r="C16" s="30" t="s">
        <v>377</v>
      </c>
      <c r="D16" s="31" t="n">
        <v>1</v>
      </c>
      <c r="E16" s="26"/>
      <c r="F16" s="27"/>
      <c r="G16" s="27"/>
    </row>
    <row r="17" customFormat="false" ht="15" hidden="false" customHeight="false" outlineLevel="0" collapsed="false">
      <c r="A17" s="65" t="s">
        <v>378</v>
      </c>
      <c r="B17" s="23" t="s">
        <v>379</v>
      </c>
      <c r="C17" s="24" t="s">
        <v>82</v>
      </c>
      <c r="D17" s="25" t="n">
        <v>1</v>
      </c>
      <c r="E17" s="26"/>
      <c r="F17" s="27"/>
      <c r="G17" s="27"/>
    </row>
    <row r="19" customFormat="false" ht="15" hidden="false" customHeight="false" outlineLevel="0" collapsed="false">
      <c r="A19" s="32" t="s">
        <v>73</v>
      </c>
      <c r="B19" s="19"/>
      <c r="C19" s="19"/>
      <c r="D19" s="19"/>
      <c r="E19" s="19"/>
      <c r="F19" s="19"/>
      <c r="G19" s="19"/>
    </row>
    <row r="20" customFormat="false" ht="15" hidden="false" customHeight="false" outlineLevel="0" collapsed="false">
      <c r="A20" s="33" t="s">
        <v>9</v>
      </c>
      <c r="B20" s="34" t="n">
        <f aca="false">COUNTIF(E3:E17,"Compliant")</f>
        <v>0</v>
      </c>
    </row>
    <row r="21" customFormat="false" ht="15" hidden="false" customHeight="false" outlineLevel="0" collapsed="false">
      <c r="A21" s="33" t="s">
        <v>10</v>
      </c>
      <c r="B21" s="34" t="n">
        <f aca="false">COUNTIF(E3:E17,"Partial")</f>
        <v>0</v>
      </c>
    </row>
    <row r="22" customFormat="false" ht="15" hidden="false" customHeight="false" outlineLevel="0" collapsed="false">
      <c r="A22" s="33" t="s">
        <v>11</v>
      </c>
      <c r="B22" s="34" t="n">
        <f aca="false">COUNTIF(E3:E17,"Non-Compliant")</f>
        <v>0</v>
      </c>
    </row>
    <row r="23" customFormat="false" ht="15" hidden="false" customHeight="false" outlineLevel="0" collapsed="false">
      <c r="A23" s="33" t="s">
        <v>12</v>
      </c>
      <c r="B23" s="34" t="n">
        <f aca="false">COUNTIF(E3:E17,"N/A")</f>
        <v>0</v>
      </c>
    </row>
    <row r="24" customFormat="false" ht="15" hidden="false" customHeight="false" outlineLevel="0" collapsed="false">
      <c r="A24" s="33" t="s">
        <v>7</v>
      </c>
      <c r="B24" s="67" t="str">
        <f aca="false">IF(COUNTA(E3:E17)-COUNTIF(E3:E17,"N/A")=0,"-",ROUND((COUNTIF(E3:E17,"Compliant")*100+COUNTIF(E3:E17,"Partial")*50)/(COUNTA(E3:E17)-COUNTIF(E3:E17,"N/A")),0)&amp;"%")</f>
        <v>-</v>
      </c>
    </row>
  </sheetData>
  <mergeCells count="1">
    <mergeCell ref="A1:G1"/>
  </mergeCells>
  <conditionalFormatting sqref="E3:E17">
    <cfRule type="cellIs" priority="2" operator="equal" aboveAverage="0" equalAverage="0" bottom="0" percent="0" rank="0" text="" dxfId="4">
      <formula>"Compliant"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"Non-Compliant"</formula>
    </cfRule>
  </conditionalFormatting>
  <dataValidations count="1">
    <dataValidation allowBlank="true" error="Please select Compliant, Partial, Non-Compliant, or N/A" errorStyle="stop" errorTitle="Invalid Status" operator="between" showDropDown="false" showErrorMessage="false" showInputMessage="false" sqref="E3:E17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2026-04-16T23:06:17Z</dcterms:created>
  <dc:creator>openpyxl</dc:creator>
  <dc:description/>
  <dc:language>en-US</dc:language>
  <cp:lastModifiedBy/>
  <dcterms:modified xsi:type="dcterms:W3CDTF">2026-04-16T23:06:17Z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